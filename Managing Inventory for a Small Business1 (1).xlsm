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ad41f7e6522df8/Desktop/ADS/"/>
    </mc:Choice>
  </mc:AlternateContent>
  <xr:revisionPtr revIDLastSave="0" documentId="8_{3284DF5F-AE71-4606-B0A1-54F2A709970F}" xr6:coauthVersionLast="47" xr6:coauthVersionMax="47" xr10:uidLastSave="{00000000-0000-0000-0000-000000000000}"/>
  <bookViews>
    <workbookView minimized="1" xWindow="1100" yWindow="1100" windowWidth="14400" windowHeight="7270" xr2:uid="{00000000-000D-0000-FFFF-FFFF00000000}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953B25-0BE6-4D38-B6F3-5890A66A958D}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xr16:uid="{35869882-370F-47BF-9963-8FA8FE7E75F9}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xr16:uid="{1526E97D-BA7B-4822-B3FD-A571E4E8055C}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xr16:uid="{70C9B4F7-F260-4BCB-9595-EB538BE57958}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<sst xmlns="http://schemas.openxmlformats.org/spreadsheetml/2006/main" count="3039" uniqueCount="27">
  <si>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</si>
  <si>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</si>
  <si>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</si>
  <si>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</si>
  <si>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</si>
  <si>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</si>
  <si>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</si>
  <si>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</si>
  <si>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</si>
  <si>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</si>
  <si>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</si>
  <si>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</si>
  <si>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</si>
  <si>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</si>
  <si>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</si>
  <si>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</si>
  <si>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</si>
  <si>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</si>
  <si>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</si>
  <si>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</si>
  <si>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</si>
  <si>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</si>
  <si>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</si>
  <si>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</si>
  <si>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</si>
  <si>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</si>
  <si>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 xml:space="preserve">UPDATING INVENTORY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</si>
</sst>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&quot;₹&quot;\ * #,##0_ ;_ &quot;₹&quot;\ * \-#,##0_ ;_ &quot;₹&quot;\ 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10" borderId="10" xfId="0" applyFill="1" applyBorder="1" applyAlignment="1">
      <alignment horizontal="left"/>
    </xf>
    <xf numFmtId="0" fontId="0" fillId="10" borderId="10" xfId="0" applyFill="1" applyBorder="1"/>
    <xf numFmtId="0" fontId="1" fillId="22" borderId="0" xfId="0" applyFont="1" applyFill="1" applyAlignment="1">
      <alignment horizontal="left"/>
    </xf>
    <xf numFmtId="44" fontId="0" fillId="10" borderId="10" xfId="0" applyNumberFormat="1" applyFill="1" applyBorder="1"/>
    <xf numFmtId="44" fontId="0" fillId="0" borderId="10" xfId="0" applyNumberFormat="1" applyBorder="1"/>
    <xf numFmtId="44" fontId="17" fillId="9" borderId="10" xfId="0" applyNumberFormat="1" applyFont="1" applyFill="1" applyBorder="1"/>
    <xf numFmtId="44" fontId="0" fillId="0" borderId="10" xfId="42" applyFont="1" applyBorder="1"/>
    <xf numFmtId="44" fontId="0" fillId="0" borderId="0" xfId="42" applyFont="1"/>
    <xf numFmtId="44" fontId="0" fillId="34" borderId="10" xfId="42" applyFont="1" applyFill="1" applyBorder="1"/>
    <xf numFmtId="44" fontId="0" fillId="0" borderId="16" xfId="42" applyFont="1" applyBorder="1"/>
    <xf numFmtId="44" fontId="0" fillId="36" borderId="0" xfId="42" applyFont="1" applyFill="1"/>
    <xf numFmtId="44" fontId="13" fillId="33" borderId="10" xfId="42" applyFont="1" applyFill="1" applyBorder="1"/>
    <xf numFmtId="44" fontId="0" fillId="0" borderId="12" xfId="42" applyFont="1" applyBorder="1"/>
    <xf numFmtId="44" fontId="0" fillId="0" borderId="14" xfId="42" applyFont="1" applyBorder="1"/>
    <xf numFmtId="44" fontId="0" fillId="0" borderId="17" xfId="42" applyFont="1" applyBorder="1"/>
    <xf numFmtId="44" fontId="13" fillId="33" borderId="11" xfId="42" applyFont="1" applyFill="1" applyBorder="1"/>
    <xf numFmtId="44" fontId="0" fillId="34" borderId="13" xfId="42" applyFont="1" applyFill="1" applyBorder="1"/>
    <xf numFmtId="44" fontId="0" fillId="0" borderId="13" xfId="42" applyFont="1" applyBorder="1"/>
    <xf numFmtId="44" fontId="0" fillId="0" borderId="15" xfId="42" applyFont="1" applyBorder="1"/>
    <xf numFmtId="0" fontId="0" fillId="38" borderId="0" xfId="0" applyFill="1" applyAlignment="1">
      <alignment horizontal="center"/>
    </xf>
    <xf numFmtId="0" fontId="18" fillId="37" borderId="0" xfId="0" applyFont="1" applyFill="1" applyAlignment="1">
      <alignment horizontal="center"/>
    </xf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7" tint="0.79998168889431442"/>
        </patternFill>
      </fill>
    </dxf>
    <dxf>
      <numFmt numFmtId="164" formatCode="_ &quot;₹&quot;\ * #,##0_ ;_ &quot;₹&quot;\ * \-#,##0_ ;_ &quot;₹&quot;\ * &quot;-&quot;??_ ;_ @_ "/>
    </dxf>
    <dxf>
      <numFmt numFmtId="164" formatCode="_ &quot;₹&quot;\ * #,##0_ ;_ &quot;₹&quot;\ * \-#,##0_ ;_ &quot;₹&quot;\ * &quot;-&quot;??_ ;_ @_ 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Business1.xlsm]Visualisationns!PivotTable1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25400</xdr:colOff>
          <xdr:row>4</xdr:row>
          <xdr:rowOff>12700</xdr:rowOff>
        </xdr:from>
        <xdr:to>
          <xdr:col>10</xdr:col>
          <xdr:colOff>38100</xdr:colOff>
          <xdr:row>6</xdr:row>
          <xdr:rowOff>31750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kamal" refreshedDate="45062.371588194444" createdVersion="8" refreshedVersion="8" minRefreshableVersion="3" recordCount="1000" xr:uid="{2215D2D4-FB97-48BE-A88B-32D010C9C643}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F25433-C3A2-4A3C-BA68-C9C18D9EBAA4}" name="PivotTable2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44"/>
    <dataField name="Total Selling Price" fld="2" baseField="0" baseItem="0" numFmtId="44"/>
    <dataField name=" Total Profit" fld="4" baseField="0" baseItem="0" numFmtId="44"/>
  </dataFields>
  <formats count="20"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dataOnly="0" labelOnly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2"/>
          </reference>
        </references>
      </pivotArea>
    </format>
    <format dxfId="28">
      <pivotArea collapsedLevelsAreSubtotals="1" fieldPosition="0">
        <references count="1">
          <reference field="0" count="1">
            <x v="4"/>
          </reference>
        </references>
      </pivotArea>
    </format>
    <format dxfId="27">
      <pivotArea dataOnly="0" labelOnly="1" fieldPosition="0">
        <references count="1">
          <reference field="0" count="1">
            <x v="4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2BF9E-8FA9-4511-BA79-C5419BE5DD9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4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45EFEA3-5C26-41E3-8170-A027699CDDBE}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E56F375C-5574-4180-AAA1-029391718419}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D3F932-6E80-477B-B7D4-6C0D5C5DB929}" name="Table_supermarket_sales___Sheet1" displayName="Table_supermarket_sales___Sheet1" ref="B1:C1001" tableType="queryTable" totalsRowShown="0" headerRowDxfId="43">
  <autoFilter ref="B1:C1001" xr:uid="{4CD3F932-6E80-477B-B7D4-6C0D5C5DB929}"/>
  <tableColumns count="2">
    <tableColumn id="6" xr3:uid="{E10222C6-BE43-4852-B05F-FCA5E8E08E99}" uniqueName="6" name="Product Name" queryTableFieldId="6" dataDxfId="42"/>
    <tableColumn id="7" xr3:uid="{80B4A5EA-7C2E-4DD6-AF84-CC3DE8D2A700}" uniqueName="7" name="Cost Price" queryTableFieldId="7" dataDxfId="41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09F83D-CFF5-47AB-A936-DE69D706BCBA}" name="Table57" displayName="Table57" ref="E1:E1001" totalsRowShown="0" headerRowCellStyle="Currency" dataCellStyle="Currency">
  <autoFilter ref="E1:E1001" xr:uid="{B309F83D-CFF5-47AB-A936-DE69D706BCBA}"/>
  <tableColumns count="1">
    <tableColumn id="2" xr3:uid="{47D26B3D-B4E0-47D1-B0BB-1FA9491A9BBC}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9A51A-0EC4-4622-96DE-72EA9B96C0AF}" name="Table3" displayName="Table3" ref="A1:A1001" totalsRowShown="0" headerRowDxfId="40" dataDxfId="39">
  <autoFilter ref="A1:A1001" xr:uid="{1789A51A-0EC4-4622-96DE-72EA9B96C0AF}"/>
  <tableColumns count="1">
    <tableColumn id="1" xr3:uid="{0191E7A2-44C4-48CB-B7A5-2AD74271931D}" name="Product ID" dataDxfId="38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EA4D4D-5BF9-4ABB-AD2A-FE0CC8011F6B}" name="Table5" displayName="Table5" ref="D1:D1001" totalsRowShown="0">
  <autoFilter ref="D1:D1001" xr:uid="{A6EA4D4D-5BF9-4ABB-AD2A-FE0CC8011F6B}"/>
  <tableColumns count="1">
    <tableColumn id="1" xr3:uid="{61001276-C794-4130-BDD6-A77FFFC1327C}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F39EC-1D7F-4017-9166-D01FF03241E9}" name="Table4" displayName="Table4" ref="A1:D1001" totalsRowShown="0" headerRowDxfId="37" headerRowBorderDxfId="36" tableBorderDxfId="35" totalsRowBorderDxfId="34">
  <autoFilter ref="A1:D1001" xr:uid="{F89F39EC-1D7F-4017-9166-D01FF03241E9}"/>
  <sortState xmlns:xlrd2="http://schemas.microsoft.com/office/spreadsheetml/2017/richdata2" ref="A2:D1001">
    <sortCondition descending="1" ref="D2:D1001"/>
  </sortState>
  <tableColumns count="4">
    <tableColumn id="1" xr3:uid="{3AFC587D-3156-47E1-9FC1-D2783DA73CAC}" name="Product Name" dataCellStyle="Normal"/>
    <tableColumn id="2" xr3:uid="{85213A2F-4FB0-44A3-97AC-0CD1F0D80606}" name="Selling Price" dataDxfId="33" dataCellStyle="Currency">
      <calculatedColumnFormula>Table_supermarket_sales___Sheet1[[#This Row],[Cost Price]]+Table57[[#This Row],[Markup Cost]]</calculatedColumnFormula>
    </tableColumn>
    <tableColumn id="3" xr3:uid="{D2836DC1-9222-4623-B224-3A5009D4673F}" name="Quantity sold" dataCellStyle="Normal"/>
    <tableColumn id="4" xr3:uid="{5163E76E-9786-423A-BF69-418F15D839A2}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67F28-66A2-45EA-9F88-B6FF8FFCD877}" name="Table_supermarket_sales___Sheet13" displayName="Table_supermarket_sales___Sheet13" ref="A1:F1001" tableType="queryTable" totalsRowShown="0" headerRowDxfId="12" headerRowBorderDxfId="11" tableBorderDxfId="10" totalsRowBorderDxfId="9">
  <autoFilter ref="A1:F1001" xr:uid="{22167F28-66A2-45EA-9F88-B6FF8FFCD877}"/>
  <tableColumns count="6">
    <tableColumn id="6" xr3:uid="{EFD06266-9C74-4C61-94E6-C40E002C37DA}" uniqueName="6" name="Product Name" queryTableFieldId="6" dataDxfId="8"/>
    <tableColumn id="7" xr3:uid="{7A79D6F5-A96D-4D9E-A2B7-D10162DA1B5D}" uniqueName="7" name="Cost Price" queryTableFieldId="7" dataDxfId="7" dataCellStyle="Currency"/>
    <tableColumn id="11" xr3:uid="{29840980-1902-4DFB-94B0-E554D674FD93}" uniqueName="11" name="Quantity" queryTableFieldId="28" dataDxfId="6"/>
    <tableColumn id="1" xr3:uid="{DB0F3ECB-1DE5-48AA-B40B-80475721D56C}" uniqueName="1" name="Selling Price" queryTableFieldId="20" dataDxfId="5" dataCellStyle="Currency">
      <calculatedColumnFormula>Table_supermarket_sales___Sheet1[[#This Row],[Cost Price]]+Table57[[#This Row],[Markup Cost]]</calculatedColumnFormula>
    </tableColumn>
    <tableColumn id="2" xr3:uid="{97C11292-D6EB-47B9-B9F2-C7A29E8A0D31}" uniqueName="2" name="Quantity sold" queryTableFieldId="21" dataDxfId="4"/>
    <tableColumn id="3" xr3:uid="{17919C71-7360-4077-B3E2-407D46EDF0D6}" uniqueName="3" name="Total Profit" queryTableFieldId="22" dataDxfId="3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B16B2-60BC-4CFF-94C1-F92231724F17}">
  <sheetPr codeName="Sheet1"/>
  <dimension ref="A1:J1001"/>
  <sheetViews>
    <sheetView tabSelected="1" topLeftCell="B1" workbookViewId="0">
      <selection activeCell="H2" sqref="H2:J2"/>
    </sheetView>
  </sheetViews>
  <sheetFormatPr defaultRowHeight="14.5" x14ac:dyDescent="0.35"/>
  <cols>
    <col min="1" max="1" width="10.90625" style="10" customWidth="1"/>
    <col min="2" max="2" width="19" bestFit="1" customWidth="1"/>
    <col min="3" max="3" width="12.90625" style="21" customWidth="1"/>
    <col min="4" max="4" width="18.453125" customWidth="1"/>
    <col min="5" max="5" width="18.453125" style="21" customWidth="1"/>
  </cols>
  <sheetData>
    <row r="1" spans="1:10" x14ac:dyDescent="0.35">
      <c r="A1" s="6" t="s">
        <v>22</v>
      </c>
      <c r="B1" s="1" t="s">
        <v>9</v>
      </c>
      <c r="C1" s="20" t="s">
        <v>8</v>
      </c>
      <c r="D1" s="1" t="s">
        <v>10</v>
      </c>
      <c r="E1" s="25" t="s">
        <v>11</v>
      </c>
    </row>
    <row r="2" spans="1:10" x14ac:dyDescent="0.35">
      <c r="A2" s="6">
        <v>1000</v>
      </c>
      <c r="B2" s="1" t="s">
        <v>1</v>
      </c>
      <c r="C2" s="20">
        <v>74.69</v>
      </c>
      <c r="D2" s="1">
        <f>Table4[[#This Row],[Quantity sold]]+5</f>
        <v>12</v>
      </c>
      <c r="E2" s="20">
        <v>26.141500000000001</v>
      </c>
      <c r="H2" s="33" t="s">
        <v>26</v>
      </c>
      <c r="I2" s="33"/>
      <c r="J2" s="33"/>
    </row>
    <row r="3" spans="1:10" x14ac:dyDescent="0.35">
      <c r="A3" s="6">
        <f>A2+1</f>
        <v>1001</v>
      </c>
      <c r="B3" s="1" t="s">
        <v>2</v>
      </c>
      <c r="C3" s="20">
        <v>15.28</v>
      </c>
      <c r="D3" s="1">
        <f>Table4[[#This Row],[Quantity sold]]+5</f>
        <v>7</v>
      </c>
      <c r="E3" s="20">
        <v>3.82</v>
      </c>
    </row>
    <row r="4" spans="1:10" x14ac:dyDescent="0.35">
      <c r="A4" s="6">
        <f>A3+1</f>
        <v>1002</v>
      </c>
      <c r="B4" s="1" t="s">
        <v>3</v>
      </c>
      <c r="C4" s="20">
        <v>46.33</v>
      </c>
      <c r="D4" s="1">
        <f>Table4[[#This Row],[Quantity sold]]+5</f>
        <v>10</v>
      </c>
      <c r="E4" s="20">
        <v>16.215499999999999</v>
      </c>
    </row>
    <row r="5" spans="1:10" x14ac:dyDescent="0.35">
      <c r="A5" s="6">
        <f t="shared" ref="A5:A68" si="0">A4+1</f>
        <v>1003</v>
      </c>
      <c r="B5" s="1" t="s">
        <v>1</v>
      </c>
      <c r="C5" s="20">
        <v>58.22</v>
      </c>
      <c r="D5" s="1">
        <f>Table4[[#This Row],[Quantity sold]]+5</f>
        <v>9</v>
      </c>
      <c r="E5" s="20">
        <v>23.288</v>
      </c>
    </row>
    <row r="6" spans="1:10" x14ac:dyDescent="0.35">
      <c r="A6" s="6">
        <f t="shared" si="0"/>
        <v>1004</v>
      </c>
      <c r="B6" s="1" t="s">
        <v>4</v>
      </c>
      <c r="C6" s="20">
        <v>86.31</v>
      </c>
      <c r="D6" s="1">
        <f>Table4[[#This Row],[Quantity sold]]+5</f>
        <v>11</v>
      </c>
      <c r="E6" s="20">
        <v>30.208500000000001</v>
      </c>
    </row>
    <row r="7" spans="1:10" x14ac:dyDescent="0.35">
      <c r="A7" s="6">
        <f t="shared" si="0"/>
        <v>1005</v>
      </c>
      <c r="B7" s="1" t="s">
        <v>2</v>
      </c>
      <c r="C7" s="20">
        <v>85.39</v>
      </c>
      <c r="D7" s="1">
        <f>Table4[[#This Row],[Quantity sold]]+5</f>
        <v>10</v>
      </c>
      <c r="E7" s="20">
        <v>29.886500000000002</v>
      </c>
    </row>
    <row r="8" spans="1:10" x14ac:dyDescent="0.35">
      <c r="A8" s="6">
        <f t="shared" si="0"/>
        <v>1006</v>
      </c>
      <c r="B8" s="1" t="s">
        <v>2</v>
      </c>
      <c r="C8" s="20">
        <v>68.84</v>
      </c>
      <c r="D8" s="1">
        <f>Table4[[#This Row],[Quantity sold]]+5</f>
        <v>12</v>
      </c>
      <c r="E8" s="20">
        <v>20.652000000000001</v>
      </c>
    </row>
    <row r="9" spans="1:10" x14ac:dyDescent="0.35">
      <c r="A9" s="6">
        <f t="shared" si="0"/>
        <v>1007</v>
      </c>
      <c r="B9" s="1" t="s">
        <v>3</v>
      </c>
      <c r="C9" s="20">
        <v>73.56</v>
      </c>
      <c r="D9" s="1">
        <f>Table4[[#This Row],[Quantity sold]]+5</f>
        <v>12</v>
      </c>
      <c r="E9" s="20">
        <v>36.78</v>
      </c>
    </row>
    <row r="10" spans="1:10" x14ac:dyDescent="0.35">
      <c r="A10" s="6">
        <f t="shared" si="0"/>
        <v>1008</v>
      </c>
      <c r="B10" s="1" t="s">
        <v>1</v>
      </c>
      <c r="C10" s="20">
        <v>36.26</v>
      </c>
      <c r="D10" s="1">
        <f>Table4[[#This Row],[Quantity sold]]+5</f>
        <v>12</v>
      </c>
      <c r="E10" s="20">
        <v>3.6259999999999999</v>
      </c>
    </row>
    <row r="11" spans="1:10" x14ac:dyDescent="0.35">
      <c r="A11" s="6">
        <f t="shared" si="0"/>
        <v>1009</v>
      </c>
      <c r="B11" s="1" t="s">
        <v>5</v>
      </c>
      <c r="C11" s="20">
        <v>54.84</v>
      </c>
      <c r="D11" s="1">
        <f>Table4[[#This Row],[Quantity sold]]+5</f>
        <v>8</v>
      </c>
      <c r="E11" s="20">
        <v>8.2260000000000009</v>
      </c>
    </row>
    <row r="12" spans="1:10" x14ac:dyDescent="0.35">
      <c r="A12" s="6">
        <f t="shared" si="0"/>
        <v>1010</v>
      </c>
      <c r="B12" s="1" t="s">
        <v>6</v>
      </c>
      <c r="C12" s="20">
        <v>14.48</v>
      </c>
      <c r="D12" s="1">
        <f>Table4[[#This Row],[Quantity sold]]+5</f>
        <v>14</v>
      </c>
      <c r="E12" s="20">
        <v>2.8959999999999999</v>
      </c>
    </row>
    <row r="13" spans="1:10" x14ac:dyDescent="0.35">
      <c r="A13" s="6">
        <f t="shared" si="0"/>
        <v>1011</v>
      </c>
      <c r="B13" s="1" t="s">
        <v>2</v>
      </c>
      <c r="C13" s="20">
        <v>25.51</v>
      </c>
      <c r="D13" s="1">
        <f>Table4[[#This Row],[Quantity sold]]+5</f>
        <v>15</v>
      </c>
      <c r="E13" s="20">
        <v>5.1020000000000003</v>
      </c>
    </row>
    <row r="14" spans="1:10" x14ac:dyDescent="0.35">
      <c r="A14" s="6">
        <f t="shared" si="0"/>
        <v>1012</v>
      </c>
      <c r="B14" s="1" t="s">
        <v>2</v>
      </c>
      <c r="C14" s="20">
        <v>46.95</v>
      </c>
      <c r="D14" s="1">
        <f>Table4[[#This Row],[Quantity sold]]+5</f>
        <v>8</v>
      </c>
      <c r="E14" s="20">
        <v>11.737500000000001</v>
      </c>
    </row>
    <row r="15" spans="1:10" x14ac:dyDescent="0.35">
      <c r="A15" s="6">
        <f t="shared" si="0"/>
        <v>1013</v>
      </c>
      <c r="B15" s="1" t="s">
        <v>5</v>
      </c>
      <c r="C15" s="20">
        <v>43.19</v>
      </c>
      <c r="D15" s="1">
        <f>Table4[[#This Row],[Quantity sold]]+5</f>
        <v>10</v>
      </c>
      <c r="E15" s="20">
        <v>21.594999999999999</v>
      </c>
    </row>
    <row r="16" spans="1:10" x14ac:dyDescent="0.35">
      <c r="A16" s="6">
        <f t="shared" si="0"/>
        <v>1014</v>
      </c>
      <c r="B16" s="1" t="s">
        <v>1</v>
      </c>
      <c r="C16" s="20">
        <v>71.38</v>
      </c>
      <c r="D16" s="1">
        <v>16</v>
      </c>
      <c r="E16" s="20">
        <v>35.69</v>
      </c>
    </row>
    <row r="17" spans="1:5" x14ac:dyDescent="0.35">
      <c r="A17" s="6">
        <f t="shared" si="0"/>
        <v>1015</v>
      </c>
      <c r="B17" s="1" t="s">
        <v>4</v>
      </c>
      <c r="C17" s="20">
        <v>93.72</v>
      </c>
      <c r="D17" s="1">
        <f>Table4[[#This Row],[Quantity sold]]+5</f>
        <v>10</v>
      </c>
      <c r="E17" s="20">
        <v>28.116</v>
      </c>
    </row>
    <row r="18" spans="1:5" x14ac:dyDescent="0.35">
      <c r="A18" s="6">
        <f t="shared" si="0"/>
        <v>1016</v>
      </c>
      <c r="B18" s="1" t="s">
        <v>1</v>
      </c>
      <c r="C18" s="20">
        <v>68.930000000000007</v>
      </c>
      <c r="D18" s="1">
        <f>Table4[[#This Row],[Quantity sold]]+5</f>
        <v>9</v>
      </c>
      <c r="E18" s="20">
        <v>24.125499999999999</v>
      </c>
    </row>
    <row r="19" spans="1:5" x14ac:dyDescent="0.35">
      <c r="A19" s="6">
        <f t="shared" si="0"/>
        <v>1017</v>
      </c>
      <c r="B19" s="1" t="s">
        <v>4</v>
      </c>
      <c r="C19" s="20">
        <v>72.61</v>
      </c>
      <c r="D19" s="1">
        <f>Table4[[#This Row],[Quantity sold]]+5</f>
        <v>7</v>
      </c>
      <c r="E19" s="20">
        <v>21.783000000000001</v>
      </c>
    </row>
    <row r="20" spans="1:5" x14ac:dyDescent="0.35">
      <c r="A20" s="6">
        <f t="shared" si="0"/>
        <v>1018</v>
      </c>
      <c r="B20" s="1" t="s">
        <v>5</v>
      </c>
      <c r="C20" s="20">
        <v>54.67</v>
      </c>
      <c r="D20" s="1">
        <f>Table4[[#This Row],[Quantity sold]]+5</f>
        <v>15</v>
      </c>
      <c r="E20" s="20">
        <v>8.2004999999999999</v>
      </c>
    </row>
    <row r="21" spans="1:5" x14ac:dyDescent="0.35">
      <c r="A21" s="6">
        <f t="shared" si="0"/>
        <v>1019</v>
      </c>
      <c r="B21" s="1" t="s">
        <v>3</v>
      </c>
      <c r="C21" s="20">
        <v>40.299999999999997</v>
      </c>
      <c r="D21" s="1">
        <f>Table4[[#This Row],[Quantity sold]]+5</f>
        <v>12</v>
      </c>
      <c r="E21" s="20">
        <v>4.03</v>
      </c>
    </row>
    <row r="22" spans="1:5" x14ac:dyDescent="0.35">
      <c r="A22" s="6">
        <f t="shared" si="0"/>
        <v>1020</v>
      </c>
      <c r="B22" s="1" t="s">
        <v>2</v>
      </c>
      <c r="C22" s="20">
        <v>86.04</v>
      </c>
      <c r="D22" s="1">
        <f>Table4[[#This Row],[Quantity sold]]+5</f>
        <v>13</v>
      </c>
      <c r="E22" s="20">
        <v>21.51</v>
      </c>
    </row>
    <row r="23" spans="1:5" x14ac:dyDescent="0.35">
      <c r="A23" s="6">
        <f t="shared" si="0"/>
        <v>1021</v>
      </c>
      <c r="B23" s="1" t="s">
        <v>1</v>
      </c>
      <c r="C23" s="20">
        <v>87.98</v>
      </c>
      <c r="D23" s="1">
        <f>Table4[[#This Row],[Quantity sold]]+5</f>
        <v>9</v>
      </c>
      <c r="E23" s="20">
        <v>13.196999999999999</v>
      </c>
    </row>
    <row r="24" spans="1:5" x14ac:dyDescent="0.35">
      <c r="A24" s="6">
        <f t="shared" si="0"/>
        <v>1022</v>
      </c>
      <c r="B24" s="1" t="s">
        <v>3</v>
      </c>
      <c r="C24" s="20">
        <v>33.200000000000003</v>
      </c>
      <c r="D24" s="1">
        <f>Table4[[#This Row],[Quantity sold]]+5</f>
        <v>11</v>
      </c>
      <c r="E24" s="20">
        <v>3.32</v>
      </c>
    </row>
    <row r="25" spans="1:5" x14ac:dyDescent="0.35">
      <c r="A25" s="6">
        <f t="shared" si="0"/>
        <v>1023</v>
      </c>
      <c r="B25" s="1" t="s">
        <v>2</v>
      </c>
      <c r="C25" s="20">
        <v>34.56</v>
      </c>
      <c r="D25" s="1">
        <f>Table4[[#This Row],[Quantity sold]]+5</f>
        <v>9</v>
      </c>
      <c r="E25" s="20">
        <v>8.64</v>
      </c>
    </row>
    <row r="26" spans="1:5" x14ac:dyDescent="0.35">
      <c r="A26" s="6">
        <f t="shared" si="0"/>
        <v>1024</v>
      </c>
      <c r="B26" s="1" t="s">
        <v>4</v>
      </c>
      <c r="C26" s="20">
        <v>88.63</v>
      </c>
      <c r="D26" s="1">
        <f>Table4[[#This Row],[Quantity sold]]+5</f>
        <v>6</v>
      </c>
      <c r="E26" s="20">
        <v>13.294499999999999</v>
      </c>
    </row>
    <row r="27" spans="1:5" x14ac:dyDescent="0.35">
      <c r="A27" s="6">
        <f t="shared" si="0"/>
        <v>1025</v>
      </c>
      <c r="B27" s="1" t="s">
        <v>3</v>
      </c>
      <c r="C27" s="20">
        <v>52.59</v>
      </c>
      <c r="D27" s="1">
        <f>Table4[[#This Row],[Quantity sold]]+5</f>
        <v>12</v>
      </c>
      <c r="E27" s="20">
        <v>21.036000000000001</v>
      </c>
    </row>
    <row r="28" spans="1:5" x14ac:dyDescent="0.35">
      <c r="A28" s="6">
        <f t="shared" si="0"/>
        <v>1026</v>
      </c>
      <c r="B28" s="1" t="s">
        <v>6</v>
      </c>
      <c r="C28" s="20">
        <v>33.520000000000003</v>
      </c>
      <c r="D28" s="1">
        <f>Table4[[#This Row],[Quantity sold]]+5</f>
        <v>6</v>
      </c>
      <c r="E28" s="20">
        <v>1.6759999999999999</v>
      </c>
    </row>
    <row r="29" spans="1:5" x14ac:dyDescent="0.35">
      <c r="A29" s="6">
        <f t="shared" si="0"/>
        <v>1027</v>
      </c>
      <c r="B29" s="1" t="s">
        <v>6</v>
      </c>
      <c r="C29" s="20">
        <v>87.67</v>
      </c>
      <c r="D29" s="1">
        <f>Table4[[#This Row],[Quantity sold]]+5</f>
        <v>7</v>
      </c>
      <c r="E29" s="20">
        <v>8.7669999999999995</v>
      </c>
    </row>
    <row r="30" spans="1:5" x14ac:dyDescent="0.35">
      <c r="A30" s="6">
        <f t="shared" si="0"/>
        <v>1028</v>
      </c>
      <c r="B30" s="1" t="s">
        <v>5</v>
      </c>
      <c r="C30" s="20">
        <v>88.36</v>
      </c>
      <c r="D30" s="1">
        <f>Table4[[#This Row],[Quantity sold]]+5</f>
        <v>7</v>
      </c>
      <c r="E30" s="20">
        <v>22.09</v>
      </c>
    </row>
    <row r="31" spans="1:5" x14ac:dyDescent="0.35">
      <c r="A31" s="6">
        <f t="shared" si="0"/>
        <v>1029</v>
      </c>
      <c r="B31" s="1" t="s">
        <v>1</v>
      </c>
      <c r="C31" s="20">
        <v>24.89</v>
      </c>
      <c r="D31" s="1">
        <f>Table4[[#This Row],[Quantity sold]]+5</f>
        <v>13</v>
      </c>
      <c r="E31" s="20">
        <v>11.2005</v>
      </c>
    </row>
    <row r="32" spans="1:5" x14ac:dyDescent="0.35">
      <c r="A32" s="6">
        <f t="shared" si="0"/>
        <v>1030</v>
      </c>
      <c r="B32" s="1" t="s">
        <v>6</v>
      </c>
      <c r="C32" s="20">
        <v>94.13</v>
      </c>
      <c r="D32" s="1">
        <f>Table4[[#This Row],[Quantity sold]]+5</f>
        <v>9</v>
      </c>
      <c r="E32" s="20">
        <v>23.532499999999999</v>
      </c>
    </row>
    <row r="33" spans="1:5" x14ac:dyDescent="0.35">
      <c r="A33" s="6">
        <f t="shared" si="0"/>
        <v>1031</v>
      </c>
      <c r="B33" s="1" t="s">
        <v>4</v>
      </c>
      <c r="C33" s="20">
        <v>78.069999999999993</v>
      </c>
      <c r="D33" s="1">
        <f>Table4[[#This Row],[Quantity sold]]+5</f>
        <v>15</v>
      </c>
      <c r="E33" s="20">
        <v>35.131500000000003</v>
      </c>
    </row>
    <row r="34" spans="1:5" x14ac:dyDescent="0.35">
      <c r="A34" s="6">
        <f t="shared" si="0"/>
        <v>1032</v>
      </c>
      <c r="B34" s="1" t="s">
        <v>4</v>
      </c>
      <c r="C34" s="20">
        <v>83.78</v>
      </c>
      <c r="D34" s="1">
        <f>Table4[[#This Row],[Quantity sold]]+5</f>
        <v>9</v>
      </c>
      <c r="E34" s="20">
        <v>33.512</v>
      </c>
    </row>
    <row r="35" spans="1:5" x14ac:dyDescent="0.35">
      <c r="A35" s="6">
        <f t="shared" si="0"/>
        <v>1033</v>
      </c>
      <c r="B35" s="1" t="s">
        <v>1</v>
      </c>
      <c r="C35" s="20">
        <v>96.58</v>
      </c>
      <c r="D35" s="1">
        <f>Table4[[#This Row],[Quantity sold]]+5</f>
        <v>15</v>
      </c>
      <c r="E35" s="20">
        <v>9.6579999999999995</v>
      </c>
    </row>
    <row r="36" spans="1:5" x14ac:dyDescent="0.35">
      <c r="A36" s="6">
        <f t="shared" si="0"/>
        <v>1034</v>
      </c>
      <c r="B36" s="1" t="s">
        <v>5</v>
      </c>
      <c r="C36" s="20">
        <v>99.42</v>
      </c>
      <c r="D36" s="1">
        <f>Table4[[#This Row],[Quantity sold]]+5</f>
        <v>13</v>
      </c>
      <c r="E36" s="20">
        <v>19.884</v>
      </c>
    </row>
    <row r="37" spans="1:5" x14ac:dyDescent="0.35">
      <c r="A37" s="6">
        <f t="shared" si="0"/>
        <v>1035</v>
      </c>
      <c r="B37" s="1" t="s">
        <v>4</v>
      </c>
      <c r="C37" s="20">
        <v>68.12</v>
      </c>
      <c r="D37" s="1">
        <f>Table4[[#This Row],[Quantity sold]]+5</f>
        <v>6</v>
      </c>
      <c r="E37" s="20">
        <v>3.4060000000000001</v>
      </c>
    </row>
    <row r="38" spans="1:5" x14ac:dyDescent="0.35">
      <c r="A38" s="6">
        <f t="shared" si="0"/>
        <v>1036</v>
      </c>
      <c r="B38" s="1" t="s">
        <v>4</v>
      </c>
      <c r="C38" s="20">
        <v>62.62</v>
      </c>
      <c r="D38" s="1">
        <f>Table4[[#This Row],[Quantity sold]]+5</f>
        <v>10</v>
      </c>
      <c r="E38" s="20">
        <v>15.654999999999999</v>
      </c>
    </row>
    <row r="39" spans="1:5" x14ac:dyDescent="0.35">
      <c r="A39" s="6">
        <f t="shared" si="0"/>
        <v>1037</v>
      </c>
      <c r="B39" s="1" t="s">
        <v>2</v>
      </c>
      <c r="C39" s="20">
        <v>60.88</v>
      </c>
      <c r="D39" s="1">
        <f>Table4[[#This Row],[Quantity sold]]+5</f>
        <v>15</v>
      </c>
      <c r="E39" s="20">
        <v>27.396000000000001</v>
      </c>
    </row>
    <row r="40" spans="1:5" x14ac:dyDescent="0.35">
      <c r="A40" s="6">
        <f t="shared" si="0"/>
        <v>1038</v>
      </c>
      <c r="B40" s="1" t="s">
        <v>1</v>
      </c>
      <c r="C40" s="20">
        <v>54.92</v>
      </c>
      <c r="D40" s="1">
        <f>Table4[[#This Row],[Quantity sold]]+5</f>
        <v>8</v>
      </c>
      <c r="E40" s="20">
        <v>21.968</v>
      </c>
    </row>
    <row r="41" spans="1:5" x14ac:dyDescent="0.35">
      <c r="A41" s="6">
        <f t="shared" si="0"/>
        <v>1039</v>
      </c>
      <c r="B41" s="1" t="s">
        <v>3</v>
      </c>
      <c r="C41" s="20">
        <v>30.12</v>
      </c>
      <c r="D41" s="1">
        <f>Table4[[#This Row],[Quantity sold]]+5</f>
        <v>13</v>
      </c>
      <c r="E41" s="20">
        <v>12.048</v>
      </c>
    </row>
    <row r="42" spans="1:5" x14ac:dyDescent="0.35">
      <c r="A42" s="6">
        <f t="shared" si="0"/>
        <v>1040</v>
      </c>
      <c r="B42" s="1" t="s">
        <v>3</v>
      </c>
      <c r="C42" s="20">
        <v>86.72</v>
      </c>
      <c r="D42" s="1">
        <v>20</v>
      </c>
      <c r="E42" s="20">
        <v>4.3360000000000003</v>
      </c>
    </row>
    <row r="43" spans="1:5" x14ac:dyDescent="0.35">
      <c r="A43" s="6">
        <f t="shared" si="0"/>
        <v>1041</v>
      </c>
      <c r="B43" s="1" t="s">
        <v>3</v>
      </c>
      <c r="C43" s="20">
        <v>56.11</v>
      </c>
      <c r="D43" s="1">
        <f>Table4[[#This Row],[Quantity sold]]+5</f>
        <v>15</v>
      </c>
      <c r="E43" s="20">
        <v>5.6109999999999998</v>
      </c>
    </row>
    <row r="44" spans="1:5" x14ac:dyDescent="0.35">
      <c r="A44" s="6">
        <f t="shared" si="0"/>
        <v>1042</v>
      </c>
      <c r="B44" s="1" t="s">
        <v>4</v>
      </c>
      <c r="C44" s="20">
        <v>69.12</v>
      </c>
      <c r="D44" s="1">
        <f>Table4[[#This Row],[Quantity sold]]+5</f>
        <v>6</v>
      </c>
      <c r="E44" s="20">
        <v>20.736000000000001</v>
      </c>
    </row>
    <row r="45" spans="1:5" x14ac:dyDescent="0.35">
      <c r="A45" s="6">
        <f t="shared" si="0"/>
        <v>1043</v>
      </c>
      <c r="B45" s="1" t="s">
        <v>5</v>
      </c>
      <c r="C45" s="20">
        <v>98.7</v>
      </c>
      <c r="D45" s="1">
        <f>Table4[[#This Row],[Quantity sold]]+5</f>
        <v>13</v>
      </c>
      <c r="E45" s="20">
        <v>39.479999999999997</v>
      </c>
    </row>
    <row r="46" spans="1:5" x14ac:dyDescent="0.35">
      <c r="A46" s="6">
        <f t="shared" si="0"/>
        <v>1044</v>
      </c>
      <c r="B46" s="1" t="s">
        <v>1</v>
      </c>
      <c r="C46" s="20">
        <v>15.37</v>
      </c>
      <c r="D46" s="1">
        <f>Table4[[#This Row],[Quantity sold]]+5</f>
        <v>11</v>
      </c>
      <c r="E46" s="20">
        <v>1.5369999999999999</v>
      </c>
    </row>
    <row r="47" spans="1:5" x14ac:dyDescent="0.35">
      <c r="A47" s="6">
        <f t="shared" si="0"/>
        <v>1045</v>
      </c>
      <c r="B47" s="1" t="s">
        <v>2</v>
      </c>
      <c r="C47" s="20">
        <v>93.96</v>
      </c>
      <c r="D47" s="1">
        <f>Table4[[#This Row],[Quantity sold]]+5</f>
        <v>8</v>
      </c>
      <c r="E47" s="20">
        <v>18.792000000000002</v>
      </c>
    </row>
    <row r="48" spans="1:5" x14ac:dyDescent="0.35">
      <c r="A48" s="6">
        <f t="shared" si="0"/>
        <v>1046</v>
      </c>
      <c r="B48" s="1" t="s">
        <v>1</v>
      </c>
      <c r="C48" s="20">
        <v>56.69</v>
      </c>
      <c r="D48" s="1">
        <f>Table4[[#This Row],[Quantity sold]]+5</f>
        <v>11</v>
      </c>
      <c r="E48" s="20">
        <v>25.5105</v>
      </c>
    </row>
    <row r="49" spans="1:5" x14ac:dyDescent="0.35">
      <c r="A49" s="6">
        <f t="shared" si="0"/>
        <v>1047</v>
      </c>
      <c r="B49" s="1" t="s">
        <v>5</v>
      </c>
      <c r="C49" s="20">
        <v>20.010000000000002</v>
      </c>
      <c r="D49" s="1">
        <f>Table4[[#This Row],[Quantity sold]]+5</f>
        <v>13</v>
      </c>
      <c r="E49" s="20">
        <v>9.0045000000000002</v>
      </c>
    </row>
    <row r="50" spans="1:5" x14ac:dyDescent="0.35">
      <c r="A50" s="6">
        <f t="shared" si="0"/>
        <v>1048</v>
      </c>
      <c r="B50" s="1" t="s">
        <v>2</v>
      </c>
      <c r="C50" s="20">
        <v>18.93</v>
      </c>
      <c r="D50" s="1">
        <f>Table4[[#This Row],[Quantity sold]]+5</f>
        <v>12</v>
      </c>
      <c r="E50" s="20">
        <v>5.6790000000000003</v>
      </c>
    </row>
    <row r="51" spans="1:5" x14ac:dyDescent="0.35">
      <c r="A51" s="6">
        <f t="shared" si="0"/>
        <v>1049</v>
      </c>
      <c r="B51" s="1" t="s">
        <v>6</v>
      </c>
      <c r="C51" s="20">
        <v>82.63</v>
      </c>
      <c r="D51" s="1">
        <f>Table4[[#This Row],[Quantity sold]]+5</f>
        <v>15</v>
      </c>
      <c r="E51" s="20">
        <v>41.314999999999998</v>
      </c>
    </row>
    <row r="52" spans="1:5" x14ac:dyDescent="0.35">
      <c r="A52" s="6">
        <f t="shared" si="0"/>
        <v>1050</v>
      </c>
      <c r="B52" s="1" t="s">
        <v>5</v>
      </c>
      <c r="C52" s="20">
        <v>91.4</v>
      </c>
      <c r="D52" s="1">
        <f>Table4[[#This Row],[Quantity sold]]+5</f>
        <v>9</v>
      </c>
      <c r="E52" s="20">
        <v>31.99</v>
      </c>
    </row>
    <row r="53" spans="1:5" x14ac:dyDescent="0.35">
      <c r="A53" s="6">
        <f t="shared" si="0"/>
        <v>1051</v>
      </c>
      <c r="B53" s="1" t="s">
        <v>5</v>
      </c>
      <c r="C53" s="20">
        <v>44.59</v>
      </c>
      <c r="D53" s="1">
        <f>Table4[[#This Row],[Quantity sold]]+5</f>
        <v>10</v>
      </c>
      <c r="E53" s="20">
        <v>11.147500000000001</v>
      </c>
    </row>
    <row r="54" spans="1:5" x14ac:dyDescent="0.35">
      <c r="A54" s="6">
        <f t="shared" si="0"/>
        <v>1052</v>
      </c>
      <c r="B54" s="1" t="s">
        <v>6</v>
      </c>
      <c r="C54" s="20">
        <v>17.87</v>
      </c>
      <c r="D54" s="1">
        <f>Table4[[#This Row],[Quantity sold]]+5</f>
        <v>15</v>
      </c>
      <c r="E54" s="20">
        <v>3.5739999999999998</v>
      </c>
    </row>
    <row r="55" spans="1:5" x14ac:dyDescent="0.35">
      <c r="A55" s="6">
        <f t="shared" si="0"/>
        <v>1053</v>
      </c>
      <c r="B55" s="1" t="s">
        <v>6</v>
      </c>
      <c r="C55" s="20">
        <v>15.43</v>
      </c>
      <c r="D55" s="1">
        <f>Table4[[#This Row],[Quantity sold]]+5</f>
        <v>7</v>
      </c>
      <c r="E55" s="20">
        <v>0.77149999999999996</v>
      </c>
    </row>
    <row r="56" spans="1:5" x14ac:dyDescent="0.35">
      <c r="A56" s="6">
        <f t="shared" si="0"/>
        <v>1054</v>
      </c>
      <c r="B56" s="1" t="s">
        <v>3</v>
      </c>
      <c r="C56" s="20">
        <v>16.16</v>
      </c>
      <c r="D56" s="1">
        <f>Table4[[#This Row],[Quantity sold]]+5</f>
        <v>9</v>
      </c>
      <c r="E56" s="20">
        <v>1.6160000000000001</v>
      </c>
    </row>
    <row r="57" spans="1:5" x14ac:dyDescent="0.35">
      <c r="A57" s="6">
        <f t="shared" si="0"/>
        <v>1055</v>
      </c>
      <c r="B57" s="1" t="s">
        <v>2</v>
      </c>
      <c r="C57" s="20">
        <v>85.98</v>
      </c>
      <c r="D57" s="1">
        <f>Table4[[#This Row],[Quantity sold]]+5</f>
        <v>15</v>
      </c>
      <c r="E57" s="20">
        <v>34.392000000000003</v>
      </c>
    </row>
    <row r="58" spans="1:5" x14ac:dyDescent="0.35">
      <c r="A58" s="6">
        <f t="shared" si="0"/>
        <v>1056</v>
      </c>
      <c r="B58" s="1" t="s">
        <v>3</v>
      </c>
      <c r="C58" s="20">
        <v>44.34</v>
      </c>
      <c r="D58" s="1">
        <f>Table4[[#This Row],[Quantity sold]]+5</f>
        <v>9</v>
      </c>
      <c r="E58" s="20">
        <v>4.4340000000000002</v>
      </c>
    </row>
    <row r="59" spans="1:5" x14ac:dyDescent="0.35">
      <c r="A59" s="6">
        <f t="shared" si="0"/>
        <v>1057</v>
      </c>
      <c r="B59" s="1" t="s">
        <v>1</v>
      </c>
      <c r="C59" s="20">
        <v>89.6</v>
      </c>
      <c r="D59" s="1">
        <f>Table4[[#This Row],[Quantity sold]]+5</f>
        <v>15</v>
      </c>
      <c r="E59" s="20">
        <v>35.840000000000003</v>
      </c>
    </row>
    <row r="60" spans="1:5" x14ac:dyDescent="0.35">
      <c r="A60" s="6">
        <f t="shared" si="0"/>
        <v>1058</v>
      </c>
      <c r="B60" s="1" t="s">
        <v>3</v>
      </c>
      <c r="C60" s="20">
        <v>72.349999999999994</v>
      </c>
      <c r="D60" s="1">
        <f>Table4[[#This Row],[Quantity sold]]+5</f>
        <v>15</v>
      </c>
      <c r="E60" s="20">
        <v>36.174999999999997</v>
      </c>
    </row>
    <row r="61" spans="1:5" x14ac:dyDescent="0.35">
      <c r="A61" s="6">
        <f t="shared" si="0"/>
        <v>1059</v>
      </c>
      <c r="B61" s="1" t="s">
        <v>2</v>
      </c>
      <c r="C61" s="20">
        <v>30.61</v>
      </c>
      <c r="D61" s="1">
        <f>Table4[[#This Row],[Quantity sold]]+5</f>
        <v>15</v>
      </c>
      <c r="E61" s="20">
        <v>9.1829999999999998</v>
      </c>
    </row>
    <row r="62" spans="1:5" x14ac:dyDescent="0.35">
      <c r="A62" s="6">
        <f t="shared" si="0"/>
        <v>1060</v>
      </c>
      <c r="B62" s="1" t="s">
        <v>4</v>
      </c>
      <c r="C62" s="20">
        <v>24.74</v>
      </c>
      <c r="D62" s="1">
        <f>Table4[[#This Row],[Quantity sold]]+5</f>
        <v>15</v>
      </c>
      <c r="E62" s="20">
        <v>3.7109999999999999</v>
      </c>
    </row>
    <row r="63" spans="1:5" x14ac:dyDescent="0.35">
      <c r="A63" s="6">
        <f t="shared" si="0"/>
        <v>1061</v>
      </c>
      <c r="B63" s="1" t="s">
        <v>3</v>
      </c>
      <c r="C63" s="20">
        <v>55.73</v>
      </c>
      <c r="D63" s="1">
        <f>Table4[[#This Row],[Quantity sold]]+5</f>
        <v>11</v>
      </c>
      <c r="E63" s="20">
        <v>16.719000000000001</v>
      </c>
    </row>
    <row r="64" spans="1:5" x14ac:dyDescent="0.35">
      <c r="A64" s="6">
        <f t="shared" si="0"/>
        <v>1062</v>
      </c>
      <c r="B64" s="1" t="s">
        <v>4</v>
      </c>
      <c r="C64" s="20">
        <v>55.07</v>
      </c>
      <c r="D64" s="1">
        <f>Table4[[#This Row],[Quantity sold]]+5</f>
        <v>6</v>
      </c>
      <c r="E64" s="20">
        <v>24.781500000000001</v>
      </c>
    </row>
    <row r="65" spans="1:5" x14ac:dyDescent="0.35">
      <c r="A65" s="6">
        <f t="shared" si="0"/>
        <v>1063</v>
      </c>
      <c r="B65" s="1" t="s">
        <v>4</v>
      </c>
      <c r="C65" s="20">
        <v>15.81</v>
      </c>
      <c r="D65" s="1">
        <f>Table4[[#This Row],[Quantity sold]]+5</f>
        <v>13</v>
      </c>
      <c r="E65" s="20">
        <v>7.9050000000000002</v>
      </c>
    </row>
    <row r="66" spans="1:5" x14ac:dyDescent="0.35">
      <c r="A66" s="6">
        <f t="shared" si="0"/>
        <v>1064</v>
      </c>
      <c r="B66" s="1" t="s">
        <v>1</v>
      </c>
      <c r="C66" s="20">
        <v>75.739999999999995</v>
      </c>
      <c r="D66" s="1">
        <f>Table4[[#This Row],[Quantity sold]]+5</f>
        <v>11</v>
      </c>
      <c r="E66" s="20">
        <v>15.148</v>
      </c>
    </row>
    <row r="67" spans="1:5" x14ac:dyDescent="0.35">
      <c r="A67" s="6">
        <f t="shared" si="0"/>
        <v>1065</v>
      </c>
      <c r="B67" s="1" t="s">
        <v>1</v>
      </c>
      <c r="C67" s="20">
        <v>15.87</v>
      </c>
      <c r="D67" s="1">
        <f>Table4[[#This Row],[Quantity sold]]+5</f>
        <v>6</v>
      </c>
      <c r="E67" s="20">
        <v>7.9349999999999996</v>
      </c>
    </row>
    <row r="68" spans="1:5" x14ac:dyDescent="0.35">
      <c r="A68" s="6">
        <f t="shared" si="0"/>
        <v>1066</v>
      </c>
      <c r="B68" s="1" t="s">
        <v>1</v>
      </c>
      <c r="C68" s="20">
        <v>33.47</v>
      </c>
      <c r="D68" s="1">
        <f>Table4[[#This Row],[Quantity sold]]+5</f>
        <v>6</v>
      </c>
      <c r="E68" s="20">
        <v>3.347</v>
      </c>
    </row>
    <row r="69" spans="1:5" x14ac:dyDescent="0.35">
      <c r="A69" s="6">
        <f t="shared" ref="A69:A132" si="1">A68+1</f>
        <v>1067</v>
      </c>
      <c r="B69" s="1" t="s">
        <v>6</v>
      </c>
      <c r="C69" s="20">
        <v>97.61</v>
      </c>
      <c r="D69" s="1">
        <f>Table4[[#This Row],[Quantity sold]]+5</f>
        <v>6</v>
      </c>
      <c r="E69" s="20">
        <v>29.283000000000001</v>
      </c>
    </row>
    <row r="70" spans="1:5" x14ac:dyDescent="0.35">
      <c r="A70" s="6">
        <f t="shared" si="1"/>
        <v>1068</v>
      </c>
      <c r="B70" s="1" t="s">
        <v>4</v>
      </c>
      <c r="C70" s="20">
        <v>78.77</v>
      </c>
      <c r="D70" s="1">
        <f>Table4[[#This Row],[Quantity sold]]+5</f>
        <v>13</v>
      </c>
      <c r="E70" s="20">
        <v>39.384999999999998</v>
      </c>
    </row>
    <row r="71" spans="1:5" x14ac:dyDescent="0.35">
      <c r="A71" s="6">
        <f t="shared" si="1"/>
        <v>1069</v>
      </c>
      <c r="B71" s="1" t="s">
        <v>1</v>
      </c>
      <c r="C71" s="20">
        <v>18.329999999999998</v>
      </c>
      <c r="D71" s="1">
        <f>Table4[[#This Row],[Quantity sold]]+5</f>
        <v>11</v>
      </c>
      <c r="E71" s="20">
        <v>0.91649999999999998</v>
      </c>
    </row>
    <row r="72" spans="1:5" x14ac:dyDescent="0.35">
      <c r="A72" s="6">
        <f t="shared" si="1"/>
        <v>1070</v>
      </c>
      <c r="B72" s="1" t="s">
        <v>5</v>
      </c>
      <c r="C72" s="20">
        <v>89.48</v>
      </c>
      <c r="D72" s="1">
        <f>Table4[[#This Row],[Quantity sold]]+5</f>
        <v>11</v>
      </c>
      <c r="E72" s="20">
        <v>44.74</v>
      </c>
    </row>
    <row r="73" spans="1:5" x14ac:dyDescent="0.35">
      <c r="A73" s="6">
        <f t="shared" si="1"/>
        <v>1071</v>
      </c>
      <c r="B73" s="1" t="s">
        <v>6</v>
      </c>
      <c r="C73" s="20">
        <v>62.12</v>
      </c>
      <c r="D73" s="1">
        <f>Table4[[#This Row],[Quantity sold]]+5</f>
        <v>7</v>
      </c>
      <c r="E73" s="20">
        <v>31.06</v>
      </c>
    </row>
    <row r="74" spans="1:5" x14ac:dyDescent="0.35">
      <c r="A74" s="6">
        <f t="shared" si="1"/>
        <v>1072</v>
      </c>
      <c r="B74" s="1" t="s">
        <v>5</v>
      </c>
      <c r="C74" s="20">
        <v>48.52</v>
      </c>
      <c r="D74" s="1">
        <f>Table4[[#This Row],[Quantity sold]]+5</f>
        <v>13</v>
      </c>
      <c r="E74" s="20">
        <v>7.2779999999999996</v>
      </c>
    </row>
    <row r="75" spans="1:5" x14ac:dyDescent="0.35">
      <c r="A75" s="6">
        <f t="shared" si="1"/>
        <v>1073</v>
      </c>
      <c r="B75" s="1" t="s">
        <v>2</v>
      </c>
      <c r="C75" s="20">
        <v>75.91</v>
      </c>
      <c r="D75" s="1">
        <f>Table4[[#This Row],[Quantity sold]]+5</f>
        <v>14</v>
      </c>
      <c r="E75" s="20">
        <v>22.773</v>
      </c>
    </row>
    <row r="76" spans="1:5" x14ac:dyDescent="0.35">
      <c r="A76" s="6">
        <f t="shared" si="1"/>
        <v>1074</v>
      </c>
      <c r="B76" s="1" t="s">
        <v>3</v>
      </c>
      <c r="C76" s="20">
        <v>74.67</v>
      </c>
      <c r="D76" s="1">
        <f>Table4[[#This Row],[Quantity sold]]+5</f>
        <v>13</v>
      </c>
      <c r="E76" s="20">
        <v>33.601500000000001</v>
      </c>
    </row>
    <row r="77" spans="1:5" x14ac:dyDescent="0.35">
      <c r="A77" s="6">
        <f t="shared" si="1"/>
        <v>1075</v>
      </c>
      <c r="B77" s="1" t="s">
        <v>2</v>
      </c>
      <c r="C77" s="20">
        <v>41.65</v>
      </c>
      <c r="D77" s="1">
        <f>Table4[[#This Row],[Quantity sold]]+5</f>
        <v>11</v>
      </c>
      <c r="E77" s="20">
        <v>20.824999999999999</v>
      </c>
    </row>
    <row r="78" spans="1:5" x14ac:dyDescent="0.35">
      <c r="A78" s="6">
        <f t="shared" si="1"/>
        <v>1076</v>
      </c>
      <c r="B78" s="1" t="s">
        <v>6</v>
      </c>
      <c r="C78" s="20">
        <v>49.04</v>
      </c>
      <c r="D78" s="1">
        <f>Table4[[#This Row],[Quantity sold]]+5</f>
        <v>14</v>
      </c>
      <c r="E78" s="20">
        <v>22.068000000000001</v>
      </c>
    </row>
    <row r="79" spans="1:5" x14ac:dyDescent="0.35">
      <c r="A79" s="6">
        <f t="shared" si="1"/>
        <v>1077</v>
      </c>
      <c r="B79" s="1" t="s">
        <v>6</v>
      </c>
      <c r="C79" s="20">
        <v>20.010000000000002</v>
      </c>
      <c r="D79" s="1">
        <f>Table4[[#This Row],[Quantity sold]]+5</f>
        <v>8</v>
      </c>
      <c r="E79" s="20">
        <v>9.0045000000000002</v>
      </c>
    </row>
    <row r="80" spans="1:5" x14ac:dyDescent="0.35">
      <c r="A80" s="6">
        <f t="shared" si="1"/>
        <v>1078</v>
      </c>
      <c r="B80" s="1" t="s">
        <v>5</v>
      </c>
      <c r="C80" s="20">
        <v>78.31</v>
      </c>
      <c r="D80" s="1">
        <f>Table4[[#This Row],[Quantity sold]]+5</f>
        <v>13</v>
      </c>
      <c r="E80" s="20">
        <v>39.155000000000001</v>
      </c>
    </row>
    <row r="81" spans="1:5" x14ac:dyDescent="0.35">
      <c r="A81" s="6">
        <f t="shared" si="1"/>
        <v>1079</v>
      </c>
      <c r="B81" s="1" t="s">
        <v>1</v>
      </c>
      <c r="C81" s="20">
        <v>20.38</v>
      </c>
      <c r="D81" s="1">
        <f>Table4[[#This Row],[Quantity sold]]+5</f>
        <v>10</v>
      </c>
      <c r="E81" s="20">
        <v>5.0949999999999998</v>
      </c>
    </row>
    <row r="82" spans="1:5" x14ac:dyDescent="0.35">
      <c r="A82" s="6">
        <f t="shared" si="1"/>
        <v>1080</v>
      </c>
      <c r="B82" s="1" t="s">
        <v>1</v>
      </c>
      <c r="C82" s="20">
        <v>99.19</v>
      </c>
      <c r="D82" s="1">
        <f>Table4[[#This Row],[Quantity sold]]+5</f>
        <v>15</v>
      </c>
      <c r="E82" s="20">
        <v>29.757000000000001</v>
      </c>
    </row>
    <row r="83" spans="1:5" x14ac:dyDescent="0.35">
      <c r="A83" s="6">
        <f t="shared" si="1"/>
        <v>1081</v>
      </c>
      <c r="B83" s="1" t="s">
        <v>5</v>
      </c>
      <c r="C83" s="20">
        <v>96.68</v>
      </c>
      <c r="D83" s="1">
        <f>Table4[[#This Row],[Quantity sold]]+5</f>
        <v>11</v>
      </c>
      <c r="E83" s="20">
        <v>14.502000000000001</v>
      </c>
    </row>
    <row r="84" spans="1:5" x14ac:dyDescent="0.35">
      <c r="A84" s="6">
        <f t="shared" si="1"/>
        <v>1082</v>
      </c>
      <c r="B84" s="1" t="s">
        <v>5</v>
      </c>
      <c r="C84" s="20">
        <v>19.25</v>
      </c>
      <c r="D84" s="1">
        <f>Table4[[#This Row],[Quantity sold]]+5</f>
        <v>8</v>
      </c>
      <c r="E84" s="20">
        <v>7.7</v>
      </c>
    </row>
    <row r="85" spans="1:5" x14ac:dyDescent="0.35">
      <c r="A85" s="6">
        <f t="shared" si="1"/>
        <v>1083</v>
      </c>
      <c r="B85" s="1" t="s">
        <v>5</v>
      </c>
      <c r="C85" s="20">
        <v>80.36</v>
      </c>
      <c r="D85" s="1">
        <f>Table4[[#This Row],[Quantity sold]]+5</f>
        <v>15</v>
      </c>
      <c r="E85" s="20">
        <v>16.071999999999999</v>
      </c>
    </row>
    <row r="86" spans="1:5" x14ac:dyDescent="0.35">
      <c r="A86" s="6">
        <f t="shared" si="1"/>
        <v>1084</v>
      </c>
      <c r="B86" s="1" t="s">
        <v>4</v>
      </c>
      <c r="C86" s="20">
        <v>48.91</v>
      </c>
      <c r="D86" s="1">
        <f>Table4[[#This Row],[Quantity sold]]+5</f>
        <v>11</v>
      </c>
      <c r="E86" s="20">
        <v>12.227499999999999</v>
      </c>
    </row>
    <row r="87" spans="1:5" x14ac:dyDescent="0.35">
      <c r="A87" s="6">
        <f t="shared" si="1"/>
        <v>1085</v>
      </c>
      <c r="B87" s="1" t="s">
        <v>4</v>
      </c>
      <c r="C87" s="20">
        <v>83.06</v>
      </c>
      <c r="D87" s="1">
        <f>Table4[[#This Row],[Quantity sold]]+5</f>
        <v>10</v>
      </c>
      <c r="E87" s="20">
        <v>29.071000000000002</v>
      </c>
    </row>
    <row r="88" spans="1:5" x14ac:dyDescent="0.35">
      <c r="A88" s="6">
        <f t="shared" si="1"/>
        <v>1086</v>
      </c>
      <c r="B88" s="1" t="s">
        <v>6</v>
      </c>
      <c r="C88" s="20">
        <v>76.52</v>
      </c>
      <c r="D88" s="1">
        <f>Table4[[#This Row],[Quantity sold]]+5</f>
        <v>11</v>
      </c>
      <c r="E88" s="20">
        <v>19.13</v>
      </c>
    </row>
    <row r="89" spans="1:5" x14ac:dyDescent="0.35">
      <c r="A89" s="6">
        <f t="shared" si="1"/>
        <v>1087</v>
      </c>
      <c r="B89" s="1" t="s">
        <v>5</v>
      </c>
      <c r="C89" s="20">
        <v>49.38</v>
      </c>
      <c r="D89" s="1">
        <f>Table4[[#This Row],[Quantity sold]]+5</f>
        <v>15</v>
      </c>
      <c r="E89" s="20">
        <v>17.283000000000001</v>
      </c>
    </row>
    <row r="90" spans="1:5" x14ac:dyDescent="0.35">
      <c r="A90" s="6">
        <f t="shared" si="1"/>
        <v>1088</v>
      </c>
      <c r="B90" s="1" t="s">
        <v>4</v>
      </c>
      <c r="C90" s="20">
        <v>42.47</v>
      </c>
      <c r="D90" s="1">
        <f>Table4[[#This Row],[Quantity sold]]+5</f>
        <v>10</v>
      </c>
      <c r="E90" s="20">
        <v>2.1234999999999999</v>
      </c>
    </row>
    <row r="91" spans="1:5" x14ac:dyDescent="0.35">
      <c r="A91" s="6">
        <f t="shared" si="1"/>
        <v>1089</v>
      </c>
      <c r="B91" s="1" t="s">
        <v>1</v>
      </c>
      <c r="C91" s="20">
        <v>76.989999999999995</v>
      </c>
      <c r="D91" s="1">
        <f>Table4[[#This Row],[Quantity sold]]+5</f>
        <v>6</v>
      </c>
      <c r="E91" s="20">
        <v>23.097000000000001</v>
      </c>
    </row>
    <row r="92" spans="1:5" x14ac:dyDescent="0.35">
      <c r="A92" s="6">
        <f t="shared" si="1"/>
        <v>1090</v>
      </c>
      <c r="B92" s="1" t="s">
        <v>3</v>
      </c>
      <c r="C92" s="20">
        <v>47.38</v>
      </c>
      <c r="D92" s="1">
        <f>Table4[[#This Row],[Quantity sold]]+5</f>
        <v>6</v>
      </c>
      <c r="E92" s="20">
        <v>9.4760000000000009</v>
      </c>
    </row>
    <row r="93" spans="1:5" x14ac:dyDescent="0.35">
      <c r="A93" s="6">
        <f t="shared" si="1"/>
        <v>1091</v>
      </c>
      <c r="B93" s="1" t="s">
        <v>4</v>
      </c>
      <c r="C93" s="20">
        <v>44.86</v>
      </c>
      <c r="D93" s="1">
        <f>Table4[[#This Row],[Quantity sold]]+5</f>
        <v>13</v>
      </c>
      <c r="E93" s="20">
        <v>22.43</v>
      </c>
    </row>
    <row r="94" spans="1:5" x14ac:dyDescent="0.35">
      <c r="A94" s="6">
        <f t="shared" si="1"/>
        <v>1092</v>
      </c>
      <c r="B94" s="1" t="s">
        <v>4</v>
      </c>
      <c r="C94" s="20">
        <v>21.98</v>
      </c>
      <c r="D94" s="1">
        <f>Table4[[#This Row],[Quantity sold]]+5</f>
        <v>14</v>
      </c>
      <c r="E94" s="20">
        <v>7.6929999999999996</v>
      </c>
    </row>
    <row r="95" spans="1:5" x14ac:dyDescent="0.35">
      <c r="A95" s="6">
        <f t="shared" si="1"/>
        <v>1093</v>
      </c>
      <c r="B95" s="1" t="s">
        <v>1</v>
      </c>
      <c r="C95" s="20">
        <v>64.36</v>
      </c>
      <c r="D95" s="1">
        <f>Table4[[#This Row],[Quantity sold]]+5</f>
        <v>8</v>
      </c>
      <c r="E95" s="20">
        <v>28.962</v>
      </c>
    </row>
    <row r="96" spans="1:5" x14ac:dyDescent="0.35">
      <c r="A96" s="6">
        <f t="shared" si="1"/>
        <v>1094</v>
      </c>
      <c r="B96" s="1" t="s">
        <v>1</v>
      </c>
      <c r="C96" s="20">
        <v>89.75</v>
      </c>
      <c r="D96" s="1">
        <f>Table4[[#This Row],[Quantity sold]]+5</f>
        <v>13</v>
      </c>
      <c r="E96" s="20">
        <v>4.4874999999999998</v>
      </c>
    </row>
    <row r="97" spans="1:5" x14ac:dyDescent="0.35">
      <c r="A97" s="6">
        <f t="shared" si="1"/>
        <v>1095</v>
      </c>
      <c r="B97" s="1" t="s">
        <v>2</v>
      </c>
      <c r="C97" s="20">
        <v>97.16</v>
      </c>
      <c r="D97" s="1">
        <f>Table4[[#This Row],[Quantity sold]]+5</f>
        <v>9</v>
      </c>
      <c r="E97" s="20">
        <v>4.8579999999999997</v>
      </c>
    </row>
    <row r="98" spans="1:5" x14ac:dyDescent="0.35">
      <c r="A98" s="6">
        <f t="shared" si="1"/>
        <v>1096</v>
      </c>
      <c r="B98" s="1" t="s">
        <v>1</v>
      </c>
      <c r="C98" s="20">
        <v>87.87</v>
      </c>
      <c r="D98" s="1">
        <f>Table4[[#This Row],[Quantity sold]]+5</f>
        <v>15</v>
      </c>
      <c r="E98" s="20">
        <v>43.935000000000002</v>
      </c>
    </row>
    <row r="99" spans="1:5" x14ac:dyDescent="0.35">
      <c r="A99" s="6">
        <f t="shared" si="1"/>
        <v>1097</v>
      </c>
      <c r="B99" s="1" t="s">
        <v>2</v>
      </c>
      <c r="C99" s="20">
        <v>12.45</v>
      </c>
      <c r="D99" s="1">
        <f>Table4[[#This Row],[Quantity sold]]+5</f>
        <v>6</v>
      </c>
      <c r="E99" s="20">
        <v>3.7349999999999999</v>
      </c>
    </row>
    <row r="100" spans="1:5" x14ac:dyDescent="0.35">
      <c r="A100" s="6">
        <f t="shared" si="1"/>
        <v>1098</v>
      </c>
      <c r="B100" s="1" t="s">
        <v>5</v>
      </c>
      <c r="C100" s="20">
        <v>52.75</v>
      </c>
      <c r="D100" s="1">
        <f>Table4[[#This Row],[Quantity sold]]+5</f>
        <v>8</v>
      </c>
      <c r="E100" s="20">
        <v>7.9124999999999996</v>
      </c>
    </row>
    <row r="101" spans="1:5" x14ac:dyDescent="0.35">
      <c r="A101" s="6">
        <f t="shared" si="1"/>
        <v>1099</v>
      </c>
      <c r="B101" s="1" t="s">
        <v>3</v>
      </c>
      <c r="C101" s="20">
        <v>82.7</v>
      </c>
      <c r="D101" s="1">
        <f>Table4[[#This Row],[Quantity sold]]+5</f>
        <v>15</v>
      </c>
      <c r="E101" s="20">
        <v>24.81</v>
      </c>
    </row>
    <row r="102" spans="1:5" x14ac:dyDescent="0.35">
      <c r="A102" s="6">
        <f t="shared" si="1"/>
        <v>1100</v>
      </c>
      <c r="B102" s="1" t="s">
        <v>6</v>
      </c>
      <c r="C102" s="20">
        <v>48.71</v>
      </c>
      <c r="D102" s="1">
        <f>Table4[[#This Row],[Quantity sold]]+5</f>
        <v>8</v>
      </c>
      <c r="E102" s="20">
        <v>2.4355000000000002</v>
      </c>
    </row>
    <row r="103" spans="1:5" x14ac:dyDescent="0.35">
      <c r="A103" s="6">
        <f t="shared" si="1"/>
        <v>1101</v>
      </c>
      <c r="B103" s="1" t="s">
        <v>6</v>
      </c>
      <c r="C103" s="20">
        <v>78.55</v>
      </c>
      <c r="D103" s="1">
        <f>Table4[[#This Row],[Quantity sold]]+5</f>
        <v>15</v>
      </c>
      <c r="E103" s="20">
        <v>35.347499999999997</v>
      </c>
    </row>
    <row r="104" spans="1:5" x14ac:dyDescent="0.35">
      <c r="A104" s="6">
        <f t="shared" si="1"/>
        <v>1102</v>
      </c>
      <c r="B104" s="1" t="s">
        <v>2</v>
      </c>
      <c r="C104" s="20">
        <v>23.07</v>
      </c>
      <c r="D104" s="1">
        <f>Table4[[#This Row],[Quantity sold]]+5</f>
        <v>11</v>
      </c>
      <c r="E104" s="20">
        <v>10.381500000000001</v>
      </c>
    </row>
    <row r="105" spans="1:5" x14ac:dyDescent="0.35">
      <c r="A105" s="6">
        <f t="shared" si="1"/>
        <v>1103</v>
      </c>
      <c r="B105" s="1" t="s">
        <v>5</v>
      </c>
      <c r="C105" s="20">
        <v>58.26</v>
      </c>
      <c r="D105" s="1">
        <f>Table4[[#This Row],[Quantity sold]]+5</f>
        <v>11</v>
      </c>
      <c r="E105" s="20">
        <v>17.478000000000002</v>
      </c>
    </row>
    <row r="106" spans="1:5" x14ac:dyDescent="0.35">
      <c r="A106" s="6">
        <f t="shared" si="1"/>
        <v>1104</v>
      </c>
      <c r="B106" s="1" t="s">
        <v>1</v>
      </c>
      <c r="C106" s="20">
        <v>30.35</v>
      </c>
      <c r="D106" s="1">
        <f>Table4[[#This Row],[Quantity sold]]+5</f>
        <v>12</v>
      </c>
      <c r="E106" s="20">
        <v>10.6225</v>
      </c>
    </row>
    <row r="107" spans="1:5" x14ac:dyDescent="0.35">
      <c r="A107" s="6">
        <f t="shared" si="1"/>
        <v>1105</v>
      </c>
      <c r="B107" s="1" t="s">
        <v>2</v>
      </c>
      <c r="C107" s="20">
        <v>88.67</v>
      </c>
      <c r="D107" s="1">
        <f>Table4[[#This Row],[Quantity sold]]+5</f>
        <v>6</v>
      </c>
      <c r="E107" s="20">
        <v>44.335000000000001</v>
      </c>
    </row>
    <row r="108" spans="1:5" x14ac:dyDescent="0.35">
      <c r="A108" s="6">
        <f t="shared" si="1"/>
        <v>1106</v>
      </c>
      <c r="B108" s="1" t="s">
        <v>6</v>
      </c>
      <c r="C108" s="20">
        <v>27.38</v>
      </c>
      <c r="D108" s="1">
        <f>Table4[[#This Row],[Quantity sold]]+5</f>
        <v>14</v>
      </c>
      <c r="E108" s="20">
        <v>8.2140000000000004</v>
      </c>
    </row>
    <row r="109" spans="1:5" x14ac:dyDescent="0.35">
      <c r="A109" s="6">
        <f t="shared" si="1"/>
        <v>1107</v>
      </c>
      <c r="B109" s="1" t="s">
        <v>4</v>
      </c>
      <c r="C109" s="20">
        <v>62.13</v>
      </c>
      <c r="D109" s="1">
        <f>Table4[[#This Row],[Quantity sold]]+5</f>
        <v>9</v>
      </c>
      <c r="E109" s="20">
        <v>18.638999999999999</v>
      </c>
    </row>
    <row r="110" spans="1:5" x14ac:dyDescent="0.35">
      <c r="A110" s="6">
        <f t="shared" si="1"/>
        <v>1108</v>
      </c>
      <c r="B110" s="1" t="s">
        <v>5</v>
      </c>
      <c r="C110" s="20">
        <v>33.979999999999997</v>
      </c>
      <c r="D110" s="1">
        <f>Table4[[#This Row],[Quantity sold]]+5</f>
        <v>8</v>
      </c>
      <c r="E110" s="20">
        <v>15.291</v>
      </c>
    </row>
    <row r="111" spans="1:5" x14ac:dyDescent="0.35">
      <c r="A111" s="6">
        <f t="shared" si="1"/>
        <v>1109</v>
      </c>
      <c r="B111" s="1" t="s">
        <v>2</v>
      </c>
      <c r="C111" s="20">
        <v>81.97</v>
      </c>
      <c r="D111" s="1">
        <f>Table4[[#This Row],[Quantity sold]]+5</f>
        <v>6</v>
      </c>
      <c r="E111" s="20">
        <v>40.984999999999999</v>
      </c>
    </row>
    <row r="112" spans="1:5" x14ac:dyDescent="0.35">
      <c r="A112" s="6">
        <f t="shared" si="1"/>
        <v>1110</v>
      </c>
      <c r="B112" s="1" t="s">
        <v>4</v>
      </c>
      <c r="C112" s="20">
        <v>16.489999999999998</v>
      </c>
      <c r="D112" s="1">
        <f>Table4[[#This Row],[Quantity sold]]+5</f>
        <v>12</v>
      </c>
      <c r="E112" s="20">
        <v>1.649</v>
      </c>
    </row>
    <row r="113" spans="1:5" x14ac:dyDescent="0.35">
      <c r="A113" s="6">
        <f t="shared" si="1"/>
        <v>1111</v>
      </c>
      <c r="B113" s="1" t="s">
        <v>1</v>
      </c>
      <c r="C113" s="20">
        <v>98.21</v>
      </c>
      <c r="D113" s="1">
        <f>Table4[[#This Row],[Quantity sold]]+5</f>
        <v>10</v>
      </c>
      <c r="E113" s="20">
        <v>14.7315</v>
      </c>
    </row>
    <row r="114" spans="1:5" x14ac:dyDescent="0.35">
      <c r="A114" s="6">
        <f t="shared" si="1"/>
        <v>1112</v>
      </c>
      <c r="B114" s="1" t="s">
        <v>6</v>
      </c>
      <c r="C114" s="20">
        <v>72.84</v>
      </c>
      <c r="D114" s="1">
        <f>Table4[[#This Row],[Quantity sold]]+5</f>
        <v>6</v>
      </c>
      <c r="E114" s="20">
        <v>25.494</v>
      </c>
    </row>
    <row r="115" spans="1:5" x14ac:dyDescent="0.35">
      <c r="A115" s="6">
        <f t="shared" si="1"/>
        <v>1113</v>
      </c>
      <c r="B115" s="1" t="s">
        <v>3</v>
      </c>
      <c r="C115" s="20">
        <v>58.07</v>
      </c>
      <c r="D115" s="1">
        <f>Table4[[#This Row],[Quantity sold]]+5</f>
        <v>13</v>
      </c>
      <c r="E115" s="20">
        <v>26.131499999999999</v>
      </c>
    </row>
    <row r="116" spans="1:5" x14ac:dyDescent="0.35">
      <c r="A116" s="6">
        <f t="shared" si="1"/>
        <v>1114</v>
      </c>
      <c r="B116" s="1" t="s">
        <v>3</v>
      </c>
      <c r="C116" s="20">
        <v>80.790000000000006</v>
      </c>
      <c r="D116" s="1">
        <f>Table4[[#This Row],[Quantity sold]]+5</f>
        <v>7</v>
      </c>
      <c r="E116" s="20">
        <v>36.355499999999999</v>
      </c>
    </row>
    <row r="117" spans="1:5" x14ac:dyDescent="0.35">
      <c r="A117" s="6">
        <f t="shared" si="1"/>
        <v>1115</v>
      </c>
      <c r="B117" s="1" t="s">
        <v>6</v>
      </c>
      <c r="C117" s="20">
        <v>27.02</v>
      </c>
      <c r="D117" s="1">
        <f>Table4[[#This Row],[Quantity sold]]+5</f>
        <v>10</v>
      </c>
      <c r="E117" s="20">
        <v>4.0529999999999999</v>
      </c>
    </row>
    <row r="118" spans="1:5" x14ac:dyDescent="0.35">
      <c r="A118" s="6">
        <f t="shared" si="1"/>
        <v>1116</v>
      </c>
      <c r="B118" s="1" t="s">
        <v>6</v>
      </c>
      <c r="C118" s="20">
        <v>21.94</v>
      </c>
      <c r="D118" s="1">
        <f>Table4[[#This Row],[Quantity sold]]+5</f>
        <v>11</v>
      </c>
      <c r="E118" s="20">
        <v>5.4850000000000003</v>
      </c>
    </row>
    <row r="119" spans="1:5" x14ac:dyDescent="0.35">
      <c r="A119" s="6">
        <f t="shared" si="1"/>
        <v>1117</v>
      </c>
      <c r="B119" s="1" t="s">
        <v>6</v>
      </c>
      <c r="C119" s="20">
        <v>51.36</v>
      </c>
      <c r="D119" s="1">
        <f>Table4[[#This Row],[Quantity sold]]+5</f>
        <v>14</v>
      </c>
      <c r="E119" s="20">
        <v>2.5680000000000001</v>
      </c>
    </row>
    <row r="120" spans="1:5" x14ac:dyDescent="0.35">
      <c r="A120" s="6">
        <f t="shared" si="1"/>
        <v>1118</v>
      </c>
      <c r="B120" s="1" t="s">
        <v>5</v>
      </c>
      <c r="C120" s="20">
        <v>10.96</v>
      </c>
      <c r="D120" s="1">
        <f>Table4[[#This Row],[Quantity sold]]+5</f>
        <v>11</v>
      </c>
      <c r="E120" s="20">
        <v>5.48</v>
      </c>
    </row>
    <row r="121" spans="1:5" x14ac:dyDescent="0.35">
      <c r="A121" s="6">
        <f t="shared" si="1"/>
        <v>1119</v>
      </c>
      <c r="B121" s="1" t="s">
        <v>3</v>
      </c>
      <c r="C121" s="20">
        <v>53.44</v>
      </c>
      <c r="D121" s="1">
        <f>Table4[[#This Row],[Quantity sold]]+5</f>
        <v>7</v>
      </c>
      <c r="E121" s="20">
        <v>5.3440000000000003</v>
      </c>
    </row>
    <row r="122" spans="1:5" x14ac:dyDescent="0.35">
      <c r="A122" s="6">
        <f t="shared" si="1"/>
        <v>1120</v>
      </c>
      <c r="B122" s="1" t="s">
        <v>2</v>
      </c>
      <c r="C122" s="20">
        <v>99.56</v>
      </c>
      <c r="D122" s="1">
        <f>Table4[[#This Row],[Quantity sold]]+5</f>
        <v>15</v>
      </c>
      <c r="E122" s="20">
        <v>39.823999999999998</v>
      </c>
    </row>
    <row r="123" spans="1:5" x14ac:dyDescent="0.35">
      <c r="A123" s="6">
        <f t="shared" si="1"/>
        <v>1121</v>
      </c>
      <c r="B123" s="1" t="s">
        <v>4</v>
      </c>
      <c r="C123" s="20">
        <v>57.12</v>
      </c>
      <c r="D123" s="1">
        <f>Table4[[#This Row],[Quantity sold]]+5</f>
        <v>6</v>
      </c>
      <c r="E123" s="20">
        <v>19.992000000000001</v>
      </c>
    </row>
    <row r="124" spans="1:5" x14ac:dyDescent="0.35">
      <c r="A124" s="6">
        <f t="shared" si="1"/>
        <v>1122</v>
      </c>
      <c r="B124" s="1" t="s">
        <v>4</v>
      </c>
      <c r="C124" s="20">
        <v>99.96</v>
      </c>
      <c r="D124" s="1">
        <f>Table4[[#This Row],[Quantity sold]]+5</f>
        <v>13</v>
      </c>
      <c r="E124" s="20">
        <v>44.981999999999999</v>
      </c>
    </row>
    <row r="125" spans="1:5" x14ac:dyDescent="0.35">
      <c r="A125" s="6">
        <f t="shared" si="1"/>
        <v>1123</v>
      </c>
      <c r="B125" s="1" t="s">
        <v>3</v>
      </c>
      <c r="C125" s="20">
        <v>63.91</v>
      </c>
      <c r="D125" s="1">
        <f>Table4[[#This Row],[Quantity sold]]+5</f>
        <v>14</v>
      </c>
      <c r="E125" s="20">
        <v>25.564</v>
      </c>
    </row>
    <row r="126" spans="1:5" x14ac:dyDescent="0.35">
      <c r="A126" s="6">
        <f t="shared" si="1"/>
        <v>1124</v>
      </c>
      <c r="B126" s="1" t="s">
        <v>6</v>
      </c>
      <c r="C126" s="20">
        <v>56.47</v>
      </c>
      <c r="D126" s="1">
        <f>Table4[[#This Row],[Quantity sold]]+5</f>
        <v>9</v>
      </c>
      <c r="E126" s="20">
        <v>22.588000000000001</v>
      </c>
    </row>
    <row r="127" spans="1:5" x14ac:dyDescent="0.35">
      <c r="A127" s="6">
        <f t="shared" si="1"/>
        <v>1125</v>
      </c>
      <c r="B127" s="1" t="s">
        <v>3</v>
      </c>
      <c r="C127" s="20">
        <v>93.69</v>
      </c>
      <c r="D127" s="1">
        <f>Table4[[#This Row],[Quantity sold]]+5</f>
        <v>9</v>
      </c>
      <c r="E127" s="20">
        <v>32.791499999999999</v>
      </c>
    </row>
    <row r="128" spans="1:5" x14ac:dyDescent="0.35">
      <c r="A128" s="6">
        <f t="shared" si="1"/>
        <v>1126</v>
      </c>
      <c r="B128" s="1" t="s">
        <v>4</v>
      </c>
      <c r="C128" s="20">
        <v>32.25</v>
      </c>
      <c r="D128" s="1">
        <f>Table4[[#This Row],[Quantity sold]]+5</f>
        <v>15</v>
      </c>
      <c r="E128" s="20">
        <v>8.0625</v>
      </c>
    </row>
    <row r="129" spans="1:5" x14ac:dyDescent="0.35">
      <c r="A129" s="6">
        <f t="shared" si="1"/>
        <v>1127</v>
      </c>
      <c r="B129" s="1" t="s">
        <v>6</v>
      </c>
      <c r="C129" s="20">
        <v>31.73</v>
      </c>
      <c r="D129" s="1">
        <f>Table4[[#This Row],[Quantity sold]]+5</f>
        <v>10</v>
      </c>
      <c r="E129" s="20">
        <v>14.278499999999999</v>
      </c>
    </row>
    <row r="130" spans="1:5" x14ac:dyDescent="0.35">
      <c r="A130" s="6">
        <f t="shared" si="1"/>
        <v>1128</v>
      </c>
      <c r="B130" s="1" t="s">
        <v>5</v>
      </c>
      <c r="C130" s="20">
        <v>68.540000000000006</v>
      </c>
      <c r="D130" s="1">
        <f>Table4[[#This Row],[Quantity sold]]+5</f>
        <v>14</v>
      </c>
      <c r="E130" s="20">
        <v>27.416</v>
      </c>
    </row>
    <row r="131" spans="1:5" x14ac:dyDescent="0.35">
      <c r="A131" s="6">
        <f t="shared" si="1"/>
        <v>1129</v>
      </c>
      <c r="B131" s="1" t="s">
        <v>4</v>
      </c>
      <c r="C131" s="20">
        <v>90.28</v>
      </c>
      <c r="D131" s="1">
        <f>Table4[[#This Row],[Quantity sold]]+5</f>
        <v>9</v>
      </c>
      <c r="E131" s="20">
        <v>40.625999999999998</v>
      </c>
    </row>
    <row r="132" spans="1:5" x14ac:dyDescent="0.35">
      <c r="A132" s="6">
        <f t="shared" si="1"/>
        <v>1130</v>
      </c>
      <c r="B132" s="1" t="s">
        <v>6</v>
      </c>
      <c r="C132" s="20">
        <v>39.619999999999997</v>
      </c>
      <c r="D132" s="1">
        <f>Table4[[#This Row],[Quantity sold]]+5</f>
        <v>7</v>
      </c>
      <c r="E132" s="20">
        <v>13.867000000000001</v>
      </c>
    </row>
    <row r="133" spans="1:5" x14ac:dyDescent="0.35">
      <c r="A133" s="6">
        <f t="shared" ref="A133:A196" si="2">A132+1</f>
        <v>1131</v>
      </c>
      <c r="B133" s="1" t="s">
        <v>4</v>
      </c>
      <c r="C133" s="20">
        <v>92.13</v>
      </c>
      <c r="D133" s="1">
        <f>Table4[[#This Row],[Quantity sold]]+5</f>
        <v>14</v>
      </c>
      <c r="E133" s="20">
        <v>27.638999999999999</v>
      </c>
    </row>
    <row r="134" spans="1:5" x14ac:dyDescent="0.35">
      <c r="A134" s="6">
        <f t="shared" si="2"/>
        <v>1132</v>
      </c>
      <c r="B134" s="1" t="s">
        <v>4</v>
      </c>
      <c r="C134" s="20">
        <v>34.840000000000003</v>
      </c>
      <c r="D134" s="1">
        <f>Table4[[#This Row],[Quantity sold]]+5</f>
        <v>13</v>
      </c>
      <c r="E134" s="20">
        <v>6.968</v>
      </c>
    </row>
    <row r="135" spans="1:5" x14ac:dyDescent="0.35">
      <c r="A135" s="6">
        <f t="shared" si="2"/>
        <v>1133</v>
      </c>
      <c r="B135" s="1" t="s">
        <v>2</v>
      </c>
      <c r="C135" s="20">
        <v>87.45</v>
      </c>
      <c r="D135" s="1">
        <f>Table4[[#This Row],[Quantity sold]]+5</f>
        <v>6</v>
      </c>
      <c r="E135" s="20">
        <v>26.234999999999999</v>
      </c>
    </row>
    <row r="136" spans="1:5" x14ac:dyDescent="0.35">
      <c r="A136" s="6">
        <f t="shared" si="2"/>
        <v>1134</v>
      </c>
      <c r="B136" s="1" t="s">
        <v>1</v>
      </c>
      <c r="C136" s="20">
        <v>81.3</v>
      </c>
      <c r="D136" s="1">
        <f>Table4[[#This Row],[Quantity sold]]+5</f>
        <v>12</v>
      </c>
      <c r="E136" s="20">
        <v>24.39</v>
      </c>
    </row>
    <row r="137" spans="1:5" x14ac:dyDescent="0.35">
      <c r="A137" s="6">
        <f t="shared" si="2"/>
        <v>1135</v>
      </c>
      <c r="B137" s="1" t="s">
        <v>6</v>
      </c>
      <c r="C137" s="20">
        <v>90.22</v>
      </c>
      <c r="D137" s="1">
        <f>Table4[[#This Row],[Quantity sold]]+5</f>
        <v>14</v>
      </c>
      <c r="E137" s="20">
        <v>13.532999999999999</v>
      </c>
    </row>
    <row r="138" spans="1:5" x14ac:dyDescent="0.35">
      <c r="A138" s="6">
        <f t="shared" si="2"/>
        <v>1136</v>
      </c>
      <c r="B138" s="1" t="s">
        <v>2</v>
      </c>
      <c r="C138" s="20">
        <v>26.31</v>
      </c>
      <c r="D138" s="1">
        <f>Table4[[#This Row],[Quantity sold]]+5</f>
        <v>12</v>
      </c>
      <c r="E138" s="20">
        <v>6.5774999999999997</v>
      </c>
    </row>
    <row r="139" spans="1:5" x14ac:dyDescent="0.35">
      <c r="A139" s="6">
        <f t="shared" si="2"/>
        <v>1137</v>
      </c>
      <c r="B139" s="1" t="s">
        <v>3</v>
      </c>
      <c r="C139" s="20">
        <v>34.42</v>
      </c>
      <c r="D139" s="1">
        <f>Table4[[#This Row],[Quantity sold]]+5</f>
        <v>9</v>
      </c>
      <c r="E139" s="20">
        <v>10.326000000000001</v>
      </c>
    </row>
    <row r="140" spans="1:5" x14ac:dyDescent="0.35">
      <c r="A140" s="6">
        <f t="shared" si="2"/>
        <v>1138</v>
      </c>
      <c r="B140" s="1" t="s">
        <v>4</v>
      </c>
      <c r="C140" s="20">
        <v>51.91</v>
      </c>
      <c r="D140" s="1">
        <f>Table4[[#This Row],[Quantity sold]]+5</f>
        <v>11</v>
      </c>
      <c r="E140" s="20">
        <v>25.954999999999998</v>
      </c>
    </row>
    <row r="141" spans="1:5" x14ac:dyDescent="0.35">
      <c r="A141" s="6">
        <f t="shared" si="2"/>
        <v>1139</v>
      </c>
      <c r="B141" s="1" t="s">
        <v>4</v>
      </c>
      <c r="C141" s="20">
        <v>72.5</v>
      </c>
      <c r="D141" s="1">
        <f>Table4[[#This Row],[Quantity sold]]+5</f>
        <v>6</v>
      </c>
      <c r="E141" s="20">
        <v>29</v>
      </c>
    </row>
    <row r="142" spans="1:5" x14ac:dyDescent="0.35">
      <c r="A142" s="6">
        <f t="shared" si="2"/>
        <v>1140</v>
      </c>
      <c r="B142" s="1" t="s">
        <v>4</v>
      </c>
      <c r="C142" s="20">
        <v>89.8</v>
      </c>
      <c r="D142" s="1">
        <f>Table4[[#This Row],[Quantity sold]]+5</f>
        <v>6</v>
      </c>
      <c r="E142" s="20">
        <v>44.9</v>
      </c>
    </row>
    <row r="143" spans="1:5" x14ac:dyDescent="0.35">
      <c r="A143" s="6">
        <f t="shared" si="2"/>
        <v>1141</v>
      </c>
      <c r="B143" s="1" t="s">
        <v>1</v>
      </c>
      <c r="C143" s="20">
        <v>90.5</v>
      </c>
      <c r="D143" s="1">
        <f>Table4[[#This Row],[Quantity sold]]+5</f>
        <v>6</v>
      </c>
      <c r="E143" s="20">
        <v>45.25</v>
      </c>
    </row>
    <row r="144" spans="1:5" x14ac:dyDescent="0.35">
      <c r="A144" s="6">
        <f t="shared" si="2"/>
        <v>1142</v>
      </c>
      <c r="B144" s="1" t="s">
        <v>1</v>
      </c>
      <c r="C144" s="20">
        <v>68.599999999999994</v>
      </c>
      <c r="D144" s="1">
        <f>Table4[[#This Row],[Quantity sold]]+5</f>
        <v>6</v>
      </c>
      <c r="E144" s="20">
        <v>34.299999999999997</v>
      </c>
    </row>
    <row r="145" spans="1:5" x14ac:dyDescent="0.35">
      <c r="A145" s="6">
        <f t="shared" si="2"/>
        <v>1143</v>
      </c>
      <c r="B145" s="1" t="s">
        <v>5</v>
      </c>
      <c r="C145" s="20">
        <v>30.41</v>
      </c>
      <c r="D145" s="1">
        <f>Table4[[#This Row],[Quantity sold]]+5</f>
        <v>8</v>
      </c>
      <c r="E145" s="20">
        <v>1.5205</v>
      </c>
    </row>
    <row r="146" spans="1:5" x14ac:dyDescent="0.35">
      <c r="A146" s="6">
        <f t="shared" si="2"/>
        <v>1144</v>
      </c>
      <c r="B146" s="1" t="s">
        <v>3</v>
      </c>
      <c r="C146" s="20">
        <v>77.95</v>
      </c>
      <c r="D146" s="1">
        <f>Table4[[#This Row],[Quantity sold]]+5</f>
        <v>15</v>
      </c>
      <c r="E146" s="20">
        <v>23.385000000000002</v>
      </c>
    </row>
    <row r="147" spans="1:5" x14ac:dyDescent="0.35">
      <c r="A147" s="6">
        <f t="shared" si="2"/>
        <v>1145</v>
      </c>
      <c r="B147" s="1" t="s">
        <v>1</v>
      </c>
      <c r="C147" s="20">
        <v>46.26</v>
      </c>
      <c r="D147" s="1">
        <f>Table4[[#This Row],[Quantity sold]]+5</f>
        <v>8</v>
      </c>
      <c r="E147" s="20">
        <v>13.878</v>
      </c>
    </row>
    <row r="148" spans="1:5" x14ac:dyDescent="0.35">
      <c r="A148" s="6">
        <f t="shared" si="2"/>
        <v>1146</v>
      </c>
      <c r="B148" s="1" t="s">
        <v>6</v>
      </c>
      <c r="C148" s="20">
        <v>30.14</v>
      </c>
      <c r="D148" s="1">
        <f>Table4[[#This Row],[Quantity sold]]+5</f>
        <v>15</v>
      </c>
      <c r="E148" s="20">
        <v>15.07</v>
      </c>
    </row>
    <row r="149" spans="1:5" x14ac:dyDescent="0.35">
      <c r="A149" s="6">
        <f t="shared" si="2"/>
        <v>1147</v>
      </c>
      <c r="B149" s="1" t="s">
        <v>1</v>
      </c>
      <c r="C149" s="20">
        <v>66.14</v>
      </c>
      <c r="D149" s="1">
        <f>Table4[[#This Row],[Quantity sold]]+5</f>
        <v>15</v>
      </c>
      <c r="E149" s="20">
        <v>13.228</v>
      </c>
    </row>
    <row r="150" spans="1:5" x14ac:dyDescent="0.35">
      <c r="A150" s="6">
        <f t="shared" si="2"/>
        <v>1148</v>
      </c>
      <c r="B150" s="1" t="s">
        <v>3</v>
      </c>
      <c r="C150" s="20">
        <v>71.86</v>
      </c>
      <c r="D150" s="1">
        <f>Table4[[#This Row],[Quantity sold]]+5</f>
        <v>9</v>
      </c>
      <c r="E150" s="20">
        <v>28.744</v>
      </c>
    </row>
    <row r="151" spans="1:5" x14ac:dyDescent="0.35">
      <c r="A151" s="6">
        <f t="shared" si="2"/>
        <v>1149</v>
      </c>
      <c r="B151" s="1" t="s">
        <v>1</v>
      </c>
      <c r="C151" s="20">
        <v>32.46</v>
      </c>
      <c r="D151" s="1">
        <f>Table4[[#This Row],[Quantity sold]]+5</f>
        <v>10</v>
      </c>
      <c r="E151" s="20">
        <v>12.984</v>
      </c>
    </row>
    <row r="152" spans="1:5" x14ac:dyDescent="0.35">
      <c r="A152" s="6">
        <f t="shared" si="2"/>
        <v>1150</v>
      </c>
      <c r="B152" s="1" t="s">
        <v>6</v>
      </c>
      <c r="C152" s="20">
        <v>91.54</v>
      </c>
      <c r="D152" s="1">
        <f>Table4[[#This Row],[Quantity sold]]+5</f>
        <v>6</v>
      </c>
      <c r="E152" s="20">
        <v>18.308</v>
      </c>
    </row>
    <row r="153" spans="1:5" x14ac:dyDescent="0.35">
      <c r="A153" s="6">
        <f t="shared" si="2"/>
        <v>1151</v>
      </c>
      <c r="B153" s="1" t="s">
        <v>4</v>
      </c>
      <c r="C153" s="20">
        <v>34.56</v>
      </c>
      <c r="D153" s="1">
        <f>Table4[[#This Row],[Quantity sold]]+5</f>
        <v>6</v>
      </c>
      <c r="E153" s="20">
        <v>12.096</v>
      </c>
    </row>
    <row r="154" spans="1:5" x14ac:dyDescent="0.35">
      <c r="A154" s="6">
        <f t="shared" si="2"/>
        <v>1152</v>
      </c>
      <c r="B154" s="1" t="s">
        <v>6</v>
      </c>
      <c r="C154" s="20">
        <v>83.24</v>
      </c>
      <c r="D154" s="1">
        <f>Table4[[#This Row],[Quantity sold]]+5</f>
        <v>8</v>
      </c>
      <c r="E154" s="20">
        <v>37.457999999999998</v>
      </c>
    </row>
    <row r="155" spans="1:5" x14ac:dyDescent="0.35">
      <c r="A155" s="6">
        <f t="shared" si="2"/>
        <v>1153</v>
      </c>
      <c r="B155" s="1" t="s">
        <v>5</v>
      </c>
      <c r="C155" s="20">
        <v>16.48</v>
      </c>
      <c r="D155" s="1">
        <f>Table4[[#This Row],[Quantity sold]]+5</f>
        <v>11</v>
      </c>
      <c r="E155" s="20">
        <v>4.944</v>
      </c>
    </row>
    <row r="156" spans="1:5" x14ac:dyDescent="0.35">
      <c r="A156" s="6">
        <f t="shared" si="2"/>
        <v>1154</v>
      </c>
      <c r="B156" s="1" t="s">
        <v>4</v>
      </c>
      <c r="C156" s="20">
        <v>80.97</v>
      </c>
      <c r="D156" s="1">
        <f>Table4[[#This Row],[Quantity sold]]+5</f>
        <v>7</v>
      </c>
      <c r="E156" s="20">
        <v>32.387999999999998</v>
      </c>
    </row>
    <row r="157" spans="1:5" x14ac:dyDescent="0.35">
      <c r="A157" s="6">
        <f t="shared" si="2"/>
        <v>1155</v>
      </c>
      <c r="B157" s="1" t="s">
        <v>5</v>
      </c>
      <c r="C157" s="20">
        <v>92.29</v>
      </c>
      <c r="D157" s="1">
        <f>Table4[[#This Row],[Quantity sold]]+5</f>
        <v>8</v>
      </c>
      <c r="E157" s="20">
        <v>23.072500000000002</v>
      </c>
    </row>
    <row r="158" spans="1:5" x14ac:dyDescent="0.35">
      <c r="A158" s="6">
        <f t="shared" si="2"/>
        <v>1156</v>
      </c>
      <c r="B158" s="1" t="s">
        <v>2</v>
      </c>
      <c r="C158" s="20">
        <v>72.17</v>
      </c>
      <c r="D158" s="1">
        <f>Table4[[#This Row],[Quantity sold]]+5</f>
        <v>8</v>
      </c>
      <c r="E158" s="20">
        <v>3.6084999999999998</v>
      </c>
    </row>
    <row r="159" spans="1:5" x14ac:dyDescent="0.35">
      <c r="A159" s="6">
        <f t="shared" si="2"/>
        <v>1157</v>
      </c>
      <c r="B159" s="1" t="s">
        <v>3</v>
      </c>
      <c r="C159" s="20">
        <v>50.28</v>
      </c>
      <c r="D159" s="1">
        <f>Table4[[#This Row],[Quantity sold]]+5</f>
        <v>11</v>
      </c>
      <c r="E159" s="20">
        <v>12.57</v>
      </c>
    </row>
    <row r="160" spans="1:5" x14ac:dyDescent="0.35">
      <c r="A160" s="6">
        <f t="shared" si="2"/>
        <v>1158</v>
      </c>
      <c r="B160" s="1" t="s">
        <v>1</v>
      </c>
      <c r="C160" s="20">
        <v>97.22</v>
      </c>
      <c r="D160" s="1">
        <f>Table4[[#This Row],[Quantity sold]]+5</f>
        <v>13</v>
      </c>
      <c r="E160" s="20">
        <v>43.749000000000002</v>
      </c>
    </row>
    <row r="161" spans="1:5" x14ac:dyDescent="0.35">
      <c r="A161" s="6">
        <f t="shared" si="2"/>
        <v>1159</v>
      </c>
      <c r="B161" s="1" t="s">
        <v>4</v>
      </c>
      <c r="C161" s="20">
        <v>93.39</v>
      </c>
      <c r="D161" s="1">
        <f>Table4[[#This Row],[Quantity sold]]+5</f>
        <v>9</v>
      </c>
      <c r="E161" s="20">
        <v>28.016999999999999</v>
      </c>
    </row>
    <row r="162" spans="1:5" x14ac:dyDescent="0.35">
      <c r="A162" s="6">
        <f t="shared" si="2"/>
        <v>1160</v>
      </c>
      <c r="B162" s="1" t="s">
        <v>5</v>
      </c>
      <c r="C162" s="20">
        <v>43.18</v>
      </c>
      <c r="D162" s="1">
        <f>Table4[[#This Row],[Quantity sold]]+5</f>
        <v>9</v>
      </c>
      <c r="E162" s="20">
        <v>17.271999999999998</v>
      </c>
    </row>
    <row r="163" spans="1:5" x14ac:dyDescent="0.35">
      <c r="A163" s="6">
        <f t="shared" si="2"/>
        <v>1161</v>
      </c>
      <c r="B163" s="1" t="s">
        <v>4</v>
      </c>
      <c r="C163" s="20">
        <v>63.69</v>
      </c>
      <c r="D163" s="1">
        <f>Table4[[#This Row],[Quantity sold]]+5</f>
        <v>9</v>
      </c>
      <c r="E163" s="20">
        <v>3.1844999999999999</v>
      </c>
    </row>
    <row r="164" spans="1:5" x14ac:dyDescent="0.35">
      <c r="A164" s="6">
        <f t="shared" si="2"/>
        <v>1162</v>
      </c>
      <c r="B164" s="1" t="s">
        <v>5</v>
      </c>
      <c r="C164" s="20">
        <v>45.79</v>
      </c>
      <c r="D164" s="1">
        <f>Table4[[#This Row],[Quantity sold]]+5</f>
        <v>11</v>
      </c>
      <c r="E164" s="20">
        <v>16.026499999999999</v>
      </c>
    </row>
    <row r="165" spans="1:5" x14ac:dyDescent="0.35">
      <c r="A165" s="6">
        <f t="shared" si="2"/>
        <v>1163</v>
      </c>
      <c r="B165" s="1" t="s">
        <v>4</v>
      </c>
      <c r="C165" s="20">
        <v>76.400000000000006</v>
      </c>
      <c r="D165" s="1">
        <f>Table4[[#This Row],[Quantity sold]]+5</f>
        <v>13</v>
      </c>
      <c r="E165" s="20">
        <v>7.64</v>
      </c>
    </row>
    <row r="166" spans="1:5" x14ac:dyDescent="0.35">
      <c r="A166" s="6">
        <f t="shared" si="2"/>
        <v>1164</v>
      </c>
      <c r="B166" s="1" t="s">
        <v>5</v>
      </c>
      <c r="C166" s="20">
        <v>39.9</v>
      </c>
      <c r="D166" s="1">
        <f>Table4[[#This Row],[Quantity sold]]+5</f>
        <v>10</v>
      </c>
      <c r="E166" s="20">
        <v>19.95</v>
      </c>
    </row>
    <row r="167" spans="1:5" x14ac:dyDescent="0.35">
      <c r="A167" s="6">
        <f t="shared" si="2"/>
        <v>1165</v>
      </c>
      <c r="B167" s="1" t="s">
        <v>1</v>
      </c>
      <c r="C167" s="20">
        <v>42.57</v>
      </c>
      <c r="D167" s="1">
        <f>Table4[[#This Row],[Quantity sold]]+5</f>
        <v>15</v>
      </c>
      <c r="E167" s="20">
        <v>17.027999999999999</v>
      </c>
    </row>
    <row r="168" spans="1:5" x14ac:dyDescent="0.35">
      <c r="A168" s="6">
        <f t="shared" si="2"/>
        <v>1166</v>
      </c>
      <c r="B168" s="1" t="s">
        <v>3</v>
      </c>
      <c r="C168" s="20">
        <v>95.58</v>
      </c>
      <c r="D168" s="1">
        <f>Table4[[#This Row],[Quantity sold]]+5</f>
        <v>10</v>
      </c>
      <c r="E168" s="20">
        <v>47.79</v>
      </c>
    </row>
    <row r="169" spans="1:5" x14ac:dyDescent="0.35">
      <c r="A169" s="6">
        <f t="shared" si="2"/>
        <v>1167</v>
      </c>
      <c r="B169" s="1" t="s">
        <v>6</v>
      </c>
      <c r="C169" s="20">
        <v>98.98</v>
      </c>
      <c r="D169" s="1">
        <f>Table4[[#This Row],[Quantity sold]]+5</f>
        <v>12</v>
      </c>
      <c r="E169" s="20">
        <v>49.49</v>
      </c>
    </row>
    <row r="170" spans="1:5" x14ac:dyDescent="0.35">
      <c r="A170" s="6">
        <f t="shared" si="2"/>
        <v>1168</v>
      </c>
      <c r="B170" s="1" t="s">
        <v>5</v>
      </c>
      <c r="C170" s="20">
        <v>51.28</v>
      </c>
      <c r="D170" s="1">
        <f>Table4[[#This Row],[Quantity sold]]+5</f>
        <v>8</v>
      </c>
      <c r="E170" s="20">
        <v>15.384</v>
      </c>
    </row>
    <row r="171" spans="1:5" x14ac:dyDescent="0.35">
      <c r="A171" s="6">
        <f t="shared" si="2"/>
        <v>1169</v>
      </c>
      <c r="B171" s="1" t="s">
        <v>4</v>
      </c>
      <c r="C171" s="20">
        <v>69.52</v>
      </c>
      <c r="D171" s="1">
        <f>Table4[[#This Row],[Quantity sold]]+5</f>
        <v>6</v>
      </c>
      <c r="E171" s="20">
        <v>24.332000000000001</v>
      </c>
    </row>
    <row r="172" spans="1:5" x14ac:dyDescent="0.35">
      <c r="A172" s="6">
        <f t="shared" si="2"/>
        <v>1170</v>
      </c>
      <c r="B172" s="1" t="s">
        <v>1</v>
      </c>
      <c r="C172" s="20">
        <v>70.010000000000005</v>
      </c>
      <c r="D172" s="1">
        <f>Table4[[#This Row],[Quantity sold]]+5</f>
        <v>8</v>
      </c>
      <c r="E172" s="20">
        <v>17.502500000000001</v>
      </c>
    </row>
    <row r="173" spans="1:5" x14ac:dyDescent="0.35">
      <c r="A173" s="6">
        <f t="shared" si="2"/>
        <v>1171</v>
      </c>
      <c r="B173" s="1" t="s">
        <v>5</v>
      </c>
      <c r="C173" s="20">
        <v>80.05</v>
      </c>
      <c r="D173" s="1">
        <f>Table4[[#This Row],[Quantity sold]]+5</f>
        <v>14</v>
      </c>
      <c r="E173" s="20">
        <v>20.012499999999999</v>
      </c>
    </row>
    <row r="174" spans="1:5" x14ac:dyDescent="0.35">
      <c r="A174" s="6">
        <f t="shared" si="2"/>
        <v>1172</v>
      </c>
      <c r="B174" s="1" t="s">
        <v>2</v>
      </c>
      <c r="C174" s="20">
        <v>20.85</v>
      </c>
      <c r="D174" s="1">
        <f>Table4[[#This Row],[Quantity sold]]+5</f>
        <v>10</v>
      </c>
      <c r="E174" s="20">
        <v>8.34</v>
      </c>
    </row>
    <row r="175" spans="1:5" x14ac:dyDescent="0.35">
      <c r="A175" s="6">
        <f t="shared" si="2"/>
        <v>1173</v>
      </c>
      <c r="B175" s="1" t="s">
        <v>2</v>
      </c>
      <c r="C175" s="20">
        <v>52.89</v>
      </c>
      <c r="D175" s="1">
        <f>Table4[[#This Row],[Quantity sold]]+5</f>
        <v>15</v>
      </c>
      <c r="E175" s="20">
        <v>15.867000000000001</v>
      </c>
    </row>
    <row r="176" spans="1:5" x14ac:dyDescent="0.35">
      <c r="A176" s="6">
        <f t="shared" si="2"/>
        <v>1174</v>
      </c>
      <c r="B176" s="1" t="s">
        <v>5</v>
      </c>
      <c r="C176" s="20">
        <v>19.79</v>
      </c>
      <c r="D176" s="1">
        <f>Table4[[#This Row],[Quantity sold]]+5</f>
        <v>14</v>
      </c>
      <c r="E176" s="20">
        <v>7.9160000000000004</v>
      </c>
    </row>
    <row r="177" spans="1:5" x14ac:dyDescent="0.35">
      <c r="A177" s="6">
        <f t="shared" si="2"/>
        <v>1175</v>
      </c>
      <c r="B177" s="1" t="s">
        <v>3</v>
      </c>
      <c r="C177" s="20">
        <v>33.840000000000003</v>
      </c>
      <c r="D177" s="1">
        <f>Table4[[#This Row],[Quantity sold]]+5</f>
        <v>10</v>
      </c>
      <c r="E177" s="20">
        <v>15.228</v>
      </c>
    </row>
    <row r="178" spans="1:5" x14ac:dyDescent="0.35">
      <c r="A178" s="6">
        <f t="shared" si="2"/>
        <v>1176</v>
      </c>
      <c r="B178" s="1" t="s">
        <v>5</v>
      </c>
      <c r="C178" s="20">
        <v>22.17</v>
      </c>
      <c r="D178" s="1">
        <f>Table4[[#This Row],[Quantity sold]]+5</f>
        <v>11</v>
      </c>
      <c r="E178" s="20">
        <v>8.8680000000000003</v>
      </c>
    </row>
    <row r="179" spans="1:5" x14ac:dyDescent="0.35">
      <c r="A179" s="6">
        <f t="shared" si="2"/>
        <v>1177</v>
      </c>
      <c r="B179" s="1" t="s">
        <v>6</v>
      </c>
      <c r="C179" s="20">
        <v>22.51</v>
      </c>
      <c r="D179" s="1">
        <f>Table4[[#This Row],[Quantity sold]]+5</f>
        <v>6</v>
      </c>
      <c r="E179" s="20">
        <v>7.8784999999999998</v>
      </c>
    </row>
    <row r="180" spans="1:5" x14ac:dyDescent="0.35">
      <c r="A180" s="6">
        <f t="shared" si="2"/>
        <v>1178</v>
      </c>
      <c r="B180" s="1" t="s">
        <v>5</v>
      </c>
      <c r="C180" s="20">
        <v>73.88</v>
      </c>
      <c r="D180" s="1">
        <f>Table4[[#This Row],[Quantity sold]]+5</f>
        <v>8</v>
      </c>
      <c r="E180" s="20">
        <v>22.164000000000001</v>
      </c>
    </row>
    <row r="181" spans="1:5" x14ac:dyDescent="0.35">
      <c r="A181" s="6">
        <f t="shared" si="2"/>
        <v>1179</v>
      </c>
      <c r="B181" s="1" t="s">
        <v>1</v>
      </c>
      <c r="C181" s="20">
        <v>86.8</v>
      </c>
      <c r="D181" s="1">
        <f>Table4[[#This Row],[Quantity sold]]+5</f>
        <v>15</v>
      </c>
      <c r="E181" s="20">
        <v>13.02</v>
      </c>
    </row>
    <row r="182" spans="1:5" x14ac:dyDescent="0.35">
      <c r="A182" s="6">
        <f t="shared" si="2"/>
        <v>1180</v>
      </c>
      <c r="B182" s="1" t="s">
        <v>6</v>
      </c>
      <c r="C182" s="20">
        <v>64.260000000000005</v>
      </c>
      <c r="D182" s="1">
        <f>Table4[[#This Row],[Quantity sold]]+5</f>
        <v>11</v>
      </c>
      <c r="E182" s="20">
        <v>22.491</v>
      </c>
    </row>
    <row r="183" spans="1:5" x14ac:dyDescent="0.35">
      <c r="A183" s="6">
        <f t="shared" si="2"/>
        <v>1181</v>
      </c>
      <c r="B183" s="1" t="s">
        <v>5</v>
      </c>
      <c r="C183" s="20">
        <v>38.47</v>
      </c>
      <c r="D183" s="1">
        <f>Table4[[#This Row],[Quantity sold]]+5</f>
        <v>12</v>
      </c>
      <c r="E183" s="20">
        <v>15.388</v>
      </c>
    </row>
    <row r="184" spans="1:5" x14ac:dyDescent="0.35">
      <c r="A184" s="6">
        <f t="shared" si="2"/>
        <v>1182</v>
      </c>
      <c r="B184" s="1" t="s">
        <v>4</v>
      </c>
      <c r="C184" s="20">
        <v>15.5</v>
      </c>
      <c r="D184" s="1">
        <f>Table4[[#This Row],[Quantity sold]]+5</f>
        <v>8</v>
      </c>
      <c r="E184" s="20">
        <v>7.75</v>
      </c>
    </row>
    <row r="185" spans="1:5" x14ac:dyDescent="0.35">
      <c r="A185" s="6">
        <f t="shared" si="2"/>
        <v>1183</v>
      </c>
      <c r="B185" s="1" t="s">
        <v>1</v>
      </c>
      <c r="C185" s="20">
        <v>34.31</v>
      </c>
      <c r="D185" s="1">
        <f>Table4[[#This Row],[Quantity sold]]+5</f>
        <v>7</v>
      </c>
      <c r="E185" s="20">
        <v>13.724</v>
      </c>
    </row>
    <row r="186" spans="1:5" x14ac:dyDescent="0.35">
      <c r="A186" s="6">
        <f t="shared" si="2"/>
        <v>1184</v>
      </c>
      <c r="B186" s="1" t="s">
        <v>4</v>
      </c>
      <c r="C186" s="20">
        <v>12.34</v>
      </c>
      <c r="D186" s="1">
        <f>Table4[[#This Row],[Quantity sold]]+5</f>
        <v>15</v>
      </c>
      <c r="E186" s="20">
        <v>4.319</v>
      </c>
    </row>
    <row r="187" spans="1:5" x14ac:dyDescent="0.35">
      <c r="A187" s="6">
        <f t="shared" si="2"/>
        <v>1185</v>
      </c>
      <c r="B187" s="1" t="s">
        <v>5</v>
      </c>
      <c r="C187" s="20">
        <v>18.079999999999998</v>
      </c>
      <c r="D187" s="1">
        <f>Table4[[#This Row],[Quantity sold]]+5</f>
        <v>14</v>
      </c>
      <c r="E187" s="20">
        <v>2.7120000000000002</v>
      </c>
    </row>
    <row r="188" spans="1:5" x14ac:dyDescent="0.35">
      <c r="A188" s="6">
        <f t="shared" si="2"/>
        <v>1186</v>
      </c>
      <c r="B188" s="1" t="s">
        <v>3</v>
      </c>
      <c r="C188" s="20">
        <v>94.49</v>
      </c>
      <c r="D188" s="1">
        <f>Table4[[#This Row],[Quantity sold]]+5</f>
        <v>15</v>
      </c>
      <c r="E188" s="20">
        <v>37.795999999999999</v>
      </c>
    </row>
    <row r="189" spans="1:5" x14ac:dyDescent="0.35">
      <c r="A189" s="6">
        <f t="shared" si="2"/>
        <v>1187</v>
      </c>
      <c r="B189" s="1" t="s">
        <v>3</v>
      </c>
      <c r="C189" s="20">
        <v>46.47</v>
      </c>
      <c r="D189" s="1">
        <f>Table4[[#This Row],[Quantity sold]]+5</f>
        <v>8</v>
      </c>
      <c r="E189" s="20">
        <v>9.2940000000000005</v>
      </c>
    </row>
    <row r="190" spans="1:5" x14ac:dyDescent="0.35">
      <c r="A190" s="6">
        <f t="shared" si="2"/>
        <v>1188</v>
      </c>
      <c r="B190" s="1" t="s">
        <v>3</v>
      </c>
      <c r="C190" s="20">
        <v>74.069999999999993</v>
      </c>
      <c r="D190" s="1">
        <f>Table4[[#This Row],[Quantity sold]]+5</f>
        <v>9</v>
      </c>
      <c r="E190" s="20">
        <v>3.7035</v>
      </c>
    </row>
    <row r="191" spans="1:5" x14ac:dyDescent="0.35">
      <c r="A191" s="6">
        <f t="shared" si="2"/>
        <v>1189</v>
      </c>
      <c r="B191" s="1" t="s">
        <v>3</v>
      </c>
      <c r="C191" s="20">
        <v>69.81</v>
      </c>
      <c r="D191" s="1">
        <f>Table4[[#This Row],[Quantity sold]]+5</f>
        <v>14</v>
      </c>
      <c r="E191" s="20">
        <v>13.962</v>
      </c>
    </row>
    <row r="192" spans="1:5" x14ac:dyDescent="0.35">
      <c r="A192" s="6">
        <f t="shared" si="2"/>
        <v>1190</v>
      </c>
      <c r="B192" s="1" t="s">
        <v>3</v>
      </c>
      <c r="C192" s="20">
        <v>77.040000000000006</v>
      </c>
      <c r="D192" s="1">
        <f>Table4[[#This Row],[Quantity sold]]+5</f>
        <v>9</v>
      </c>
      <c r="E192" s="20">
        <v>11.555999999999999</v>
      </c>
    </row>
    <row r="193" spans="1:5" x14ac:dyDescent="0.35">
      <c r="A193" s="6">
        <f t="shared" si="2"/>
        <v>1191</v>
      </c>
      <c r="B193" s="1" t="s">
        <v>6</v>
      </c>
      <c r="C193" s="20">
        <v>73.52</v>
      </c>
      <c r="D193" s="1">
        <f>Table4[[#This Row],[Quantity sold]]+5</f>
        <v>15</v>
      </c>
      <c r="E193" s="20">
        <v>7.3520000000000003</v>
      </c>
    </row>
    <row r="194" spans="1:5" x14ac:dyDescent="0.35">
      <c r="A194" s="6">
        <f t="shared" si="2"/>
        <v>1192</v>
      </c>
      <c r="B194" s="1" t="s">
        <v>5</v>
      </c>
      <c r="C194" s="20">
        <v>87.8</v>
      </c>
      <c r="D194" s="1">
        <f>Table4[[#This Row],[Quantity sold]]+5</f>
        <v>6</v>
      </c>
      <c r="E194" s="20">
        <v>39.51</v>
      </c>
    </row>
    <row r="195" spans="1:5" x14ac:dyDescent="0.35">
      <c r="A195" s="6">
        <f t="shared" si="2"/>
        <v>1193</v>
      </c>
      <c r="B195" s="1" t="s">
        <v>3</v>
      </c>
      <c r="C195" s="20">
        <v>25.55</v>
      </c>
      <c r="D195" s="1">
        <f>Table4[[#This Row],[Quantity sold]]+5</f>
        <v>9</v>
      </c>
      <c r="E195" s="20">
        <v>5.1100000000000003</v>
      </c>
    </row>
    <row r="196" spans="1:5" x14ac:dyDescent="0.35">
      <c r="A196" s="6">
        <f t="shared" si="2"/>
        <v>1194</v>
      </c>
      <c r="B196" s="1" t="s">
        <v>2</v>
      </c>
      <c r="C196" s="20">
        <v>32.71</v>
      </c>
      <c r="D196" s="1">
        <f>Table4[[#This Row],[Quantity sold]]+5</f>
        <v>14</v>
      </c>
      <c r="E196" s="20">
        <v>8.1775000000000002</v>
      </c>
    </row>
    <row r="197" spans="1:5" x14ac:dyDescent="0.35">
      <c r="A197" s="6">
        <f t="shared" ref="A197:A260" si="3">A196+1</f>
        <v>1195</v>
      </c>
      <c r="B197" s="1" t="s">
        <v>6</v>
      </c>
      <c r="C197" s="20">
        <v>74.290000000000006</v>
      </c>
      <c r="D197" s="1">
        <f>Table4[[#This Row],[Quantity sold]]+5</f>
        <v>12</v>
      </c>
      <c r="E197" s="20">
        <v>3.7145000000000001</v>
      </c>
    </row>
    <row r="198" spans="1:5" x14ac:dyDescent="0.35">
      <c r="A198" s="6">
        <f t="shared" si="3"/>
        <v>1196</v>
      </c>
      <c r="B198" s="1" t="s">
        <v>1</v>
      </c>
      <c r="C198" s="20">
        <v>43.7</v>
      </c>
      <c r="D198" s="1">
        <f>Table4[[#This Row],[Quantity sold]]+5</f>
        <v>7</v>
      </c>
      <c r="E198" s="20">
        <v>4.37</v>
      </c>
    </row>
    <row r="199" spans="1:5" x14ac:dyDescent="0.35">
      <c r="A199" s="6">
        <f t="shared" si="3"/>
        <v>1197</v>
      </c>
      <c r="B199" s="1" t="s">
        <v>3</v>
      </c>
      <c r="C199" s="20">
        <v>25.29</v>
      </c>
      <c r="D199" s="1">
        <f>Table4[[#This Row],[Quantity sold]]+5</f>
        <v>14</v>
      </c>
      <c r="E199" s="20">
        <v>1.2645</v>
      </c>
    </row>
    <row r="200" spans="1:5" x14ac:dyDescent="0.35">
      <c r="A200" s="6">
        <f t="shared" si="3"/>
        <v>1198</v>
      </c>
      <c r="B200" s="1" t="s">
        <v>1</v>
      </c>
      <c r="C200" s="20">
        <v>41.5</v>
      </c>
      <c r="D200" s="1">
        <f>Table4[[#This Row],[Quantity sold]]+5</f>
        <v>15</v>
      </c>
      <c r="E200" s="20">
        <v>8.3000000000000007</v>
      </c>
    </row>
    <row r="201" spans="1:5" x14ac:dyDescent="0.35">
      <c r="A201" s="6">
        <f t="shared" si="3"/>
        <v>1199</v>
      </c>
      <c r="B201" s="1" t="s">
        <v>5</v>
      </c>
      <c r="C201" s="20">
        <v>71.39</v>
      </c>
      <c r="D201" s="1">
        <f>Table4[[#This Row],[Quantity sold]]+5</f>
        <v>6</v>
      </c>
      <c r="E201" s="20">
        <v>17.8475</v>
      </c>
    </row>
    <row r="202" spans="1:5" x14ac:dyDescent="0.35">
      <c r="A202" s="6">
        <f t="shared" si="3"/>
        <v>1200</v>
      </c>
      <c r="B202" s="1" t="s">
        <v>4</v>
      </c>
      <c r="C202" s="20">
        <v>19.149999999999999</v>
      </c>
      <c r="D202" s="1">
        <f>Table4[[#This Row],[Quantity sold]]+5</f>
        <v>6</v>
      </c>
      <c r="E202" s="20">
        <v>5.7450000000000001</v>
      </c>
    </row>
    <row r="203" spans="1:5" x14ac:dyDescent="0.35">
      <c r="A203" s="6">
        <f t="shared" si="3"/>
        <v>1201</v>
      </c>
      <c r="B203" s="1" t="s">
        <v>2</v>
      </c>
      <c r="C203" s="20">
        <v>57.49</v>
      </c>
      <c r="D203" s="1">
        <f>Table4[[#This Row],[Quantity sold]]+5</f>
        <v>9</v>
      </c>
      <c r="E203" s="20">
        <v>11.497999999999999</v>
      </c>
    </row>
    <row r="204" spans="1:5" x14ac:dyDescent="0.35">
      <c r="A204" s="6">
        <f t="shared" si="3"/>
        <v>1202</v>
      </c>
      <c r="B204" s="1" t="s">
        <v>2</v>
      </c>
      <c r="C204" s="20">
        <v>61.41</v>
      </c>
      <c r="D204" s="1">
        <f>Table4[[#This Row],[Quantity sold]]+5</f>
        <v>12</v>
      </c>
      <c r="E204" s="20">
        <v>21.493500000000001</v>
      </c>
    </row>
    <row r="205" spans="1:5" x14ac:dyDescent="0.35">
      <c r="A205" s="6">
        <f t="shared" si="3"/>
        <v>1203</v>
      </c>
      <c r="B205" s="1" t="s">
        <v>1</v>
      </c>
      <c r="C205" s="20">
        <v>25.9</v>
      </c>
      <c r="D205" s="1">
        <f>Table4[[#This Row],[Quantity sold]]+5</f>
        <v>9</v>
      </c>
      <c r="E205" s="20">
        <v>12.95</v>
      </c>
    </row>
    <row r="206" spans="1:5" x14ac:dyDescent="0.35">
      <c r="A206" s="6">
        <f t="shared" si="3"/>
        <v>1204</v>
      </c>
      <c r="B206" s="1" t="s">
        <v>3</v>
      </c>
      <c r="C206" s="20">
        <v>17.77</v>
      </c>
      <c r="D206" s="1">
        <f>Table4[[#This Row],[Quantity sold]]+5</f>
        <v>9</v>
      </c>
      <c r="E206" s="20">
        <v>4.4424999999999999</v>
      </c>
    </row>
    <row r="207" spans="1:5" x14ac:dyDescent="0.35">
      <c r="A207" s="6">
        <f t="shared" si="3"/>
        <v>1205</v>
      </c>
      <c r="B207" s="1" t="s">
        <v>1</v>
      </c>
      <c r="C207" s="20">
        <v>23.03</v>
      </c>
      <c r="D207" s="1">
        <f>Table4[[#This Row],[Quantity sold]]+5</f>
        <v>13</v>
      </c>
      <c r="E207" s="20">
        <v>10.3635</v>
      </c>
    </row>
    <row r="208" spans="1:5" x14ac:dyDescent="0.35">
      <c r="A208" s="6">
        <f t="shared" si="3"/>
        <v>1206</v>
      </c>
      <c r="B208" s="1" t="s">
        <v>2</v>
      </c>
      <c r="C208" s="20">
        <v>66.650000000000006</v>
      </c>
      <c r="D208" s="1">
        <f>Table4[[#This Row],[Quantity sold]]+5</f>
        <v>11</v>
      </c>
      <c r="E208" s="20">
        <v>29.9925</v>
      </c>
    </row>
    <row r="209" spans="1:5" x14ac:dyDescent="0.35">
      <c r="A209" s="6">
        <f t="shared" si="3"/>
        <v>1207</v>
      </c>
      <c r="B209" s="1" t="s">
        <v>3</v>
      </c>
      <c r="C209" s="20">
        <v>28.53</v>
      </c>
      <c r="D209" s="1">
        <f>Table4[[#This Row],[Quantity sold]]+5</f>
        <v>7</v>
      </c>
      <c r="E209" s="20">
        <v>14.265000000000001</v>
      </c>
    </row>
    <row r="210" spans="1:5" x14ac:dyDescent="0.35">
      <c r="A210" s="6">
        <f t="shared" si="3"/>
        <v>1208</v>
      </c>
      <c r="B210" s="1" t="s">
        <v>6</v>
      </c>
      <c r="C210" s="20">
        <v>30.37</v>
      </c>
      <c r="D210" s="1">
        <f>Table4[[#This Row],[Quantity sold]]+5</f>
        <v>15</v>
      </c>
      <c r="E210" s="20">
        <v>4.5555000000000003</v>
      </c>
    </row>
    <row r="211" spans="1:5" x14ac:dyDescent="0.35">
      <c r="A211" s="6">
        <f t="shared" si="3"/>
        <v>1209</v>
      </c>
      <c r="B211" s="1" t="s">
        <v>2</v>
      </c>
      <c r="C211" s="20">
        <v>99.73</v>
      </c>
      <c r="D211" s="1">
        <f>Table4[[#This Row],[Quantity sold]]+5</f>
        <v>12</v>
      </c>
      <c r="E211" s="20">
        <v>44.878500000000003</v>
      </c>
    </row>
    <row r="212" spans="1:5" x14ac:dyDescent="0.35">
      <c r="A212" s="6">
        <f t="shared" si="3"/>
        <v>1210</v>
      </c>
      <c r="B212" s="1" t="s">
        <v>2</v>
      </c>
      <c r="C212" s="20">
        <v>26.23</v>
      </c>
      <c r="D212" s="1">
        <f>Table4[[#This Row],[Quantity sold]]+5</f>
        <v>12</v>
      </c>
      <c r="E212" s="20">
        <v>11.8035</v>
      </c>
    </row>
    <row r="213" spans="1:5" x14ac:dyDescent="0.35">
      <c r="A213" s="6">
        <f t="shared" si="3"/>
        <v>1211</v>
      </c>
      <c r="B213" s="1" t="s">
        <v>5</v>
      </c>
      <c r="C213" s="20">
        <v>93.26</v>
      </c>
      <c r="D213" s="1">
        <f>Table4[[#This Row],[Quantity sold]]+5</f>
        <v>15</v>
      </c>
      <c r="E213" s="20">
        <v>41.966999999999999</v>
      </c>
    </row>
    <row r="214" spans="1:5" x14ac:dyDescent="0.35">
      <c r="A214" s="6">
        <f t="shared" si="3"/>
        <v>1212</v>
      </c>
      <c r="B214" s="1" t="s">
        <v>3</v>
      </c>
      <c r="C214" s="20">
        <v>92.36</v>
      </c>
      <c r="D214" s="1">
        <f>Table4[[#This Row],[Quantity sold]]+5</f>
        <v>15</v>
      </c>
      <c r="E214" s="20">
        <v>23.09</v>
      </c>
    </row>
    <row r="215" spans="1:5" x14ac:dyDescent="0.35">
      <c r="A215" s="6">
        <f t="shared" si="3"/>
        <v>1213</v>
      </c>
      <c r="B215" s="1" t="s">
        <v>4</v>
      </c>
      <c r="C215" s="20">
        <v>46.42</v>
      </c>
      <c r="D215" s="1">
        <f>Table4[[#This Row],[Quantity sold]]+5</f>
        <v>6</v>
      </c>
      <c r="E215" s="20">
        <v>6.9630000000000001</v>
      </c>
    </row>
    <row r="216" spans="1:5" x14ac:dyDescent="0.35">
      <c r="A216" s="6">
        <f t="shared" si="3"/>
        <v>1214</v>
      </c>
      <c r="B216" s="1" t="s">
        <v>4</v>
      </c>
      <c r="C216" s="20">
        <v>29.61</v>
      </c>
      <c r="D216" s="1">
        <f>Table4[[#This Row],[Quantity sold]]+5</f>
        <v>15</v>
      </c>
      <c r="E216" s="20">
        <v>10.3635</v>
      </c>
    </row>
    <row r="217" spans="1:5" x14ac:dyDescent="0.35">
      <c r="A217" s="6">
        <f t="shared" si="3"/>
        <v>1215</v>
      </c>
      <c r="B217" s="1" t="s">
        <v>3</v>
      </c>
      <c r="C217" s="20">
        <v>18.28</v>
      </c>
      <c r="D217" s="1">
        <f>Table4[[#This Row],[Quantity sold]]+5</f>
        <v>14</v>
      </c>
      <c r="E217" s="20">
        <v>0.91400000000000003</v>
      </c>
    </row>
    <row r="218" spans="1:5" x14ac:dyDescent="0.35">
      <c r="A218" s="6">
        <f t="shared" si="3"/>
        <v>1216</v>
      </c>
      <c r="B218" s="1" t="s">
        <v>4</v>
      </c>
      <c r="C218" s="20">
        <v>24.77</v>
      </c>
      <c r="D218" s="1">
        <f>Table4[[#This Row],[Quantity sold]]+5</f>
        <v>13</v>
      </c>
      <c r="E218" s="20">
        <v>6.1924999999999999</v>
      </c>
    </row>
    <row r="219" spans="1:5" x14ac:dyDescent="0.35">
      <c r="A219" s="6">
        <f t="shared" si="3"/>
        <v>1217</v>
      </c>
      <c r="B219" s="1" t="s">
        <v>2</v>
      </c>
      <c r="C219" s="20">
        <v>94.64</v>
      </c>
      <c r="D219" s="1">
        <f>Table4[[#This Row],[Quantity sold]]+5</f>
        <v>12</v>
      </c>
      <c r="E219" s="20">
        <v>14.196</v>
      </c>
    </row>
    <row r="220" spans="1:5" x14ac:dyDescent="0.35">
      <c r="A220" s="6">
        <f t="shared" si="3"/>
        <v>1218</v>
      </c>
      <c r="B220" s="1" t="s">
        <v>6</v>
      </c>
      <c r="C220" s="20">
        <v>94.87</v>
      </c>
      <c r="D220" s="1">
        <f>Table4[[#This Row],[Quantity sold]]+5</f>
        <v>12</v>
      </c>
      <c r="E220" s="20">
        <v>37.948</v>
      </c>
    </row>
    <row r="221" spans="1:5" x14ac:dyDescent="0.35">
      <c r="A221" s="6">
        <f t="shared" si="3"/>
        <v>1219</v>
      </c>
      <c r="B221" s="1" t="s">
        <v>5</v>
      </c>
      <c r="C221" s="20">
        <v>57.34</v>
      </c>
      <c r="D221" s="1">
        <f>Table4[[#This Row],[Quantity sold]]+5</f>
        <v>7</v>
      </c>
      <c r="E221" s="20">
        <v>8.6010000000000009</v>
      </c>
    </row>
    <row r="222" spans="1:5" x14ac:dyDescent="0.35">
      <c r="A222" s="6">
        <f t="shared" si="3"/>
        <v>1220</v>
      </c>
      <c r="B222" s="1" t="s">
        <v>2</v>
      </c>
      <c r="C222" s="20">
        <v>45.35</v>
      </c>
      <c r="D222" s="1">
        <f>Table4[[#This Row],[Quantity sold]]+5</f>
        <v>8</v>
      </c>
      <c r="E222" s="20">
        <v>13.605</v>
      </c>
    </row>
    <row r="223" spans="1:5" x14ac:dyDescent="0.35">
      <c r="A223" s="6">
        <f t="shared" si="3"/>
        <v>1221</v>
      </c>
      <c r="B223" s="1" t="s">
        <v>5</v>
      </c>
      <c r="C223" s="20">
        <v>62.08</v>
      </c>
      <c r="D223" s="1">
        <f>Table4[[#This Row],[Quantity sold]]+5</f>
        <v>6</v>
      </c>
      <c r="E223" s="20">
        <v>21.728000000000002</v>
      </c>
    </row>
    <row r="224" spans="1:5" x14ac:dyDescent="0.35">
      <c r="A224" s="6">
        <f t="shared" si="3"/>
        <v>1222</v>
      </c>
      <c r="B224" s="1" t="s">
        <v>2</v>
      </c>
      <c r="C224" s="20">
        <v>11.81</v>
      </c>
      <c r="D224" s="1">
        <f>Table4[[#This Row],[Quantity sold]]+5</f>
        <v>9</v>
      </c>
      <c r="E224" s="20">
        <v>2.9525000000000001</v>
      </c>
    </row>
    <row r="225" spans="1:5" x14ac:dyDescent="0.35">
      <c r="A225" s="6">
        <f t="shared" si="3"/>
        <v>1223</v>
      </c>
      <c r="B225" s="1" t="s">
        <v>6</v>
      </c>
      <c r="C225" s="20">
        <v>12.54</v>
      </c>
      <c r="D225" s="1">
        <f>Table4[[#This Row],[Quantity sold]]+5</f>
        <v>10</v>
      </c>
      <c r="E225" s="20">
        <v>0.627</v>
      </c>
    </row>
    <row r="226" spans="1:5" x14ac:dyDescent="0.35">
      <c r="A226" s="6">
        <f t="shared" si="3"/>
        <v>1224</v>
      </c>
      <c r="B226" s="1" t="s">
        <v>5</v>
      </c>
      <c r="C226" s="20">
        <v>43.25</v>
      </c>
      <c r="D226" s="1">
        <f>Table4[[#This Row],[Quantity sold]]+5</f>
        <v>11</v>
      </c>
      <c r="E226" s="20">
        <v>4.3250000000000002</v>
      </c>
    </row>
    <row r="227" spans="1:5" x14ac:dyDescent="0.35">
      <c r="A227" s="6">
        <f t="shared" si="3"/>
        <v>1225</v>
      </c>
      <c r="B227" s="1" t="s">
        <v>4</v>
      </c>
      <c r="C227" s="20">
        <v>87.16</v>
      </c>
      <c r="D227" s="1">
        <f>Table4[[#This Row],[Quantity sold]]+5</f>
        <v>7</v>
      </c>
      <c r="E227" s="20">
        <v>8.7159999999999993</v>
      </c>
    </row>
    <row r="228" spans="1:5" x14ac:dyDescent="0.35">
      <c r="A228" s="6">
        <f t="shared" si="3"/>
        <v>1226</v>
      </c>
      <c r="B228" s="1" t="s">
        <v>1</v>
      </c>
      <c r="C228" s="20">
        <v>69.37</v>
      </c>
      <c r="D228" s="1">
        <f>Table4[[#This Row],[Quantity sold]]+5</f>
        <v>14</v>
      </c>
      <c r="E228" s="20">
        <v>31.2165</v>
      </c>
    </row>
    <row r="229" spans="1:5" x14ac:dyDescent="0.35">
      <c r="A229" s="6">
        <f t="shared" si="3"/>
        <v>1227</v>
      </c>
      <c r="B229" s="1" t="s">
        <v>2</v>
      </c>
      <c r="C229" s="20">
        <v>37.06</v>
      </c>
      <c r="D229" s="1">
        <f>Table4[[#This Row],[Quantity sold]]+5</f>
        <v>14</v>
      </c>
      <c r="E229" s="20">
        <v>7.4119999999999999</v>
      </c>
    </row>
    <row r="230" spans="1:5" x14ac:dyDescent="0.35">
      <c r="A230" s="6">
        <f t="shared" si="3"/>
        <v>1228</v>
      </c>
      <c r="B230" s="1" t="s">
        <v>2</v>
      </c>
      <c r="C230" s="20">
        <v>90.7</v>
      </c>
      <c r="D230" s="1">
        <f>Table4[[#This Row],[Quantity sold]]+5</f>
        <v>15</v>
      </c>
      <c r="E230" s="20">
        <v>27.21</v>
      </c>
    </row>
    <row r="231" spans="1:5" x14ac:dyDescent="0.35">
      <c r="A231" s="6">
        <f t="shared" si="3"/>
        <v>1229</v>
      </c>
      <c r="B231" s="1" t="s">
        <v>3</v>
      </c>
      <c r="C231" s="20">
        <v>63.42</v>
      </c>
      <c r="D231" s="1">
        <f>Table4[[#This Row],[Quantity sold]]+5</f>
        <v>7</v>
      </c>
      <c r="E231" s="20">
        <v>25.367999999999999</v>
      </c>
    </row>
    <row r="232" spans="1:5" x14ac:dyDescent="0.35">
      <c r="A232" s="6">
        <f t="shared" si="3"/>
        <v>1230</v>
      </c>
      <c r="B232" s="1" t="s">
        <v>6</v>
      </c>
      <c r="C232" s="20">
        <v>81.37</v>
      </c>
      <c r="D232" s="1">
        <f>Table4[[#This Row],[Quantity sold]]+5</f>
        <v>6</v>
      </c>
      <c r="E232" s="20">
        <v>8.1370000000000005</v>
      </c>
    </row>
    <row r="233" spans="1:5" x14ac:dyDescent="0.35">
      <c r="A233" s="6">
        <f t="shared" si="3"/>
        <v>1231</v>
      </c>
      <c r="B233" s="1" t="s">
        <v>2</v>
      </c>
      <c r="C233" s="20">
        <v>10.59</v>
      </c>
      <c r="D233" s="1">
        <f>Table4[[#This Row],[Quantity sold]]+5</f>
        <v>14</v>
      </c>
      <c r="E233" s="20">
        <v>1.5885</v>
      </c>
    </row>
    <row r="234" spans="1:5" x14ac:dyDescent="0.35">
      <c r="A234" s="6">
        <f t="shared" si="3"/>
        <v>1232</v>
      </c>
      <c r="B234" s="1" t="s">
        <v>1</v>
      </c>
      <c r="C234" s="20">
        <v>84.09</v>
      </c>
      <c r="D234" s="1">
        <f>Table4[[#This Row],[Quantity sold]]+5</f>
        <v>9</v>
      </c>
      <c r="E234" s="20">
        <v>37.840499999999999</v>
      </c>
    </row>
    <row r="235" spans="1:5" x14ac:dyDescent="0.35">
      <c r="A235" s="6">
        <f t="shared" si="3"/>
        <v>1233</v>
      </c>
      <c r="B235" s="1" t="s">
        <v>6</v>
      </c>
      <c r="C235" s="20">
        <v>73.819999999999993</v>
      </c>
      <c r="D235" s="1">
        <f>Table4[[#This Row],[Quantity sold]]+5</f>
        <v>13</v>
      </c>
      <c r="E235" s="20">
        <v>14.763999999999999</v>
      </c>
    </row>
    <row r="236" spans="1:5" x14ac:dyDescent="0.35">
      <c r="A236" s="6">
        <f t="shared" si="3"/>
        <v>1234</v>
      </c>
      <c r="B236" s="1" t="s">
        <v>1</v>
      </c>
      <c r="C236" s="20">
        <v>51.94</v>
      </c>
      <c r="D236" s="1">
        <f>Table4[[#This Row],[Quantity sold]]+5</f>
        <v>7</v>
      </c>
      <c r="E236" s="20">
        <v>25.97</v>
      </c>
    </row>
    <row r="237" spans="1:5" x14ac:dyDescent="0.35">
      <c r="A237" s="6">
        <f t="shared" si="3"/>
        <v>1235</v>
      </c>
      <c r="B237" s="1" t="s">
        <v>4</v>
      </c>
      <c r="C237" s="20">
        <v>93.14</v>
      </c>
      <c r="D237" s="1">
        <f>Table4[[#This Row],[Quantity sold]]+5</f>
        <v>14</v>
      </c>
      <c r="E237" s="20">
        <v>9.3140000000000001</v>
      </c>
    </row>
    <row r="238" spans="1:5" x14ac:dyDescent="0.35">
      <c r="A238" s="6">
        <f t="shared" si="3"/>
        <v>1236</v>
      </c>
      <c r="B238" s="1" t="s">
        <v>1</v>
      </c>
      <c r="C238" s="20">
        <v>17.41</v>
      </c>
      <c r="D238" s="1">
        <f>Table4[[#This Row],[Quantity sold]]+5</f>
        <v>15</v>
      </c>
      <c r="E238" s="20">
        <v>4.3525</v>
      </c>
    </row>
    <row r="239" spans="1:5" x14ac:dyDescent="0.35">
      <c r="A239" s="6">
        <f t="shared" si="3"/>
        <v>1237</v>
      </c>
      <c r="B239" s="1" t="s">
        <v>6</v>
      </c>
      <c r="C239" s="20">
        <v>44.22</v>
      </c>
      <c r="D239" s="1">
        <f>Table4[[#This Row],[Quantity sold]]+5</f>
        <v>7</v>
      </c>
      <c r="E239" s="20">
        <v>11.055</v>
      </c>
    </row>
    <row r="240" spans="1:5" x14ac:dyDescent="0.35">
      <c r="A240" s="6">
        <f t="shared" si="3"/>
        <v>1238</v>
      </c>
      <c r="B240" s="1" t="s">
        <v>2</v>
      </c>
      <c r="C240" s="20">
        <v>13.22</v>
      </c>
      <c r="D240" s="1">
        <f>Table4[[#This Row],[Quantity sold]]+5</f>
        <v>6</v>
      </c>
      <c r="E240" s="20">
        <v>3.3050000000000002</v>
      </c>
    </row>
    <row r="241" spans="1:5" x14ac:dyDescent="0.35">
      <c r="A241" s="6">
        <f t="shared" si="3"/>
        <v>1239</v>
      </c>
      <c r="B241" s="1" t="s">
        <v>6</v>
      </c>
      <c r="C241" s="20">
        <v>89.69</v>
      </c>
      <c r="D241" s="1">
        <f>Table4[[#This Row],[Quantity sold]]+5</f>
        <v>12</v>
      </c>
      <c r="E241" s="20">
        <v>4.4844999999999997</v>
      </c>
    </row>
    <row r="242" spans="1:5" x14ac:dyDescent="0.35">
      <c r="A242" s="6">
        <f t="shared" si="3"/>
        <v>1240</v>
      </c>
      <c r="B242" s="1" t="s">
        <v>5</v>
      </c>
      <c r="C242" s="20">
        <v>24.94</v>
      </c>
      <c r="D242" s="1">
        <f>Table4[[#This Row],[Quantity sold]]+5</f>
        <v>7</v>
      </c>
      <c r="E242" s="20">
        <v>11.223000000000001</v>
      </c>
    </row>
    <row r="243" spans="1:5" x14ac:dyDescent="0.35">
      <c r="A243" s="6">
        <f t="shared" si="3"/>
        <v>1241</v>
      </c>
      <c r="B243" s="1" t="s">
        <v>1</v>
      </c>
      <c r="C243" s="20">
        <v>59.77</v>
      </c>
      <c r="D243" s="1">
        <f>Table4[[#This Row],[Quantity sold]]+5</f>
        <v>12</v>
      </c>
      <c r="E243" s="20">
        <v>5.9770000000000003</v>
      </c>
    </row>
    <row r="244" spans="1:5" x14ac:dyDescent="0.35">
      <c r="A244" s="6">
        <f t="shared" si="3"/>
        <v>1242</v>
      </c>
      <c r="B244" s="1" t="s">
        <v>6</v>
      </c>
      <c r="C244" s="20">
        <v>93.2</v>
      </c>
      <c r="D244" s="1">
        <f>Table4[[#This Row],[Quantity sold]]+5</f>
        <v>7</v>
      </c>
      <c r="E244" s="20">
        <v>9.32</v>
      </c>
    </row>
    <row r="245" spans="1:5" x14ac:dyDescent="0.35">
      <c r="A245" s="6">
        <f t="shared" si="3"/>
        <v>1243</v>
      </c>
      <c r="B245" s="1" t="s">
        <v>3</v>
      </c>
      <c r="C245" s="20">
        <v>62.65</v>
      </c>
      <c r="D245" s="1">
        <f>Table4[[#This Row],[Quantity sold]]+5</f>
        <v>10</v>
      </c>
      <c r="E245" s="20">
        <v>12.53</v>
      </c>
    </row>
    <row r="246" spans="1:5" x14ac:dyDescent="0.35">
      <c r="A246" s="6">
        <f t="shared" si="3"/>
        <v>1244</v>
      </c>
      <c r="B246" s="1" t="s">
        <v>3</v>
      </c>
      <c r="C246" s="20">
        <v>93.87</v>
      </c>
      <c r="D246" s="1">
        <f>Table4[[#This Row],[Quantity sold]]+5</f>
        <v>14</v>
      </c>
      <c r="E246" s="20">
        <v>37.548000000000002</v>
      </c>
    </row>
    <row r="247" spans="1:5" x14ac:dyDescent="0.35">
      <c r="A247" s="6">
        <f t="shared" si="3"/>
        <v>1245</v>
      </c>
      <c r="B247" s="1" t="s">
        <v>3</v>
      </c>
      <c r="C247" s="20">
        <v>47.59</v>
      </c>
      <c r="D247" s="1">
        <f>Table4[[#This Row],[Quantity sold]]+5</f>
        <v>12</v>
      </c>
      <c r="E247" s="20">
        <v>19.036000000000001</v>
      </c>
    </row>
    <row r="248" spans="1:5" x14ac:dyDescent="0.35">
      <c r="A248" s="6">
        <f t="shared" si="3"/>
        <v>1246</v>
      </c>
      <c r="B248" s="1" t="s">
        <v>2</v>
      </c>
      <c r="C248" s="20">
        <v>81.400000000000006</v>
      </c>
      <c r="D248" s="1">
        <f>Table4[[#This Row],[Quantity sold]]+5</f>
        <v>15</v>
      </c>
      <c r="E248" s="20">
        <v>12.21</v>
      </c>
    </row>
    <row r="249" spans="1:5" x14ac:dyDescent="0.35">
      <c r="A249" s="6">
        <f t="shared" si="3"/>
        <v>1247</v>
      </c>
      <c r="B249" s="1" t="s">
        <v>6</v>
      </c>
      <c r="C249" s="20">
        <v>17.940000000000001</v>
      </c>
      <c r="D249" s="1">
        <f>Table4[[#This Row],[Quantity sold]]+5</f>
        <v>7</v>
      </c>
      <c r="E249" s="20">
        <v>4.4850000000000003</v>
      </c>
    </row>
    <row r="250" spans="1:5" x14ac:dyDescent="0.35">
      <c r="A250" s="6">
        <f t="shared" si="3"/>
        <v>1248</v>
      </c>
      <c r="B250" s="1" t="s">
        <v>2</v>
      </c>
      <c r="C250" s="20">
        <v>77.72</v>
      </c>
      <c r="D250" s="1">
        <f>Table4[[#This Row],[Quantity sold]]+5</f>
        <v>11</v>
      </c>
      <c r="E250" s="20">
        <v>15.544</v>
      </c>
    </row>
    <row r="251" spans="1:5" x14ac:dyDescent="0.35">
      <c r="A251" s="6">
        <f t="shared" si="3"/>
        <v>1249</v>
      </c>
      <c r="B251" s="1" t="s">
        <v>5</v>
      </c>
      <c r="C251" s="20">
        <v>73.06</v>
      </c>
      <c r="D251" s="1">
        <f>Table4[[#This Row],[Quantity sold]]+5</f>
        <v>10</v>
      </c>
      <c r="E251" s="20">
        <v>25.571000000000002</v>
      </c>
    </row>
    <row r="252" spans="1:5" x14ac:dyDescent="0.35">
      <c r="A252" s="6">
        <f t="shared" si="3"/>
        <v>1250</v>
      </c>
      <c r="B252" s="1" t="s">
        <v>5</v>
      </c>
      <c r="C252" s="20">
        <v>46.55</v>
      </c>
      <c r="D252" s="1">
        <f>Table4[[#This Row],[Quantity sold]]+5</f>
        <v>8</v>
      </c>
      <c r="E252" s="20">
        <v>20.947500000000002</v>
      </c>
    </row>
    <row r="253" spans="1:5" x14ac:dyDescent="0.35">
      <c r="A253" s="6">
        <f t="shared" si="3"/>
        <v>1251</v>
      </c>
      <c r="B253" s="1" t="s">
        <v>6</v>
      </c>
      <c r="C253" s="20">
        <v>35.19</v>
      </c>
      <c r="D253" s="1">
        <f>Table4[[#This Row],[Quantity sold]]+5</f>
        <v>11</v>
      </c>
      <c r="E253" s="20">
        <v>17.594999999999999</v>
      </c>
    </row>
    <row r="254" spans="1:5" x14ac:dyDescent="0.35">
      <c r="A254" s="6">
        <f t="shared" si="3"/>
        <v>1252</v>
      </c>
      <c r="B254" s="1" t="s">
        <v>4</v>
      </c>
      <c r="C254" s="20">
        <v>14.39</v>
      </c>
      <c r="D254" s="1">
        <f>Table4[[#This Row],[Quantity sold]]+5</f>
        <v>8</v>
      </c>
      <c r="E254" s="20">
        <v>1.4390000000000001</v>
      </c>
    </row>
    <row r="255" spans="1:5" x14ac:dyDescent="0.35">
      <c r="A255" s="6">
        <f t="shared" si="3"/>
        <v>1253</v>
      </c>
      <c r="B255" s="1" t="s">
        <v>3</v>
      </c>
      <c r="C255" s="20">
        <v>23.75</v>
      </c>
      <c r="D255" s="1">
        <f>Table4[[#This Row],[Quantity sold]]+5</f>
        <v>11</v>
      </c>
      <c r="E255" s="20">
        <v>4.75</v>
      </c>
    </row>
    <row r="256" spans="1:5" x14ac:dyDescent="0.35">
      <c r="A256" s="6">
        <f t="shared" si="3"/>
        <v>1254</v>
      </c>
      <c r="B256" s="1" t="s">
        <v>3</v>
      </c>
      <c r="C256" s="20">
        <v>58.9</v>
      </c>
      <c r="D256" s="1">
        <f>Table4[[#This Row],[Quantity sold]]+5</f>
        <v>15</v>
      </c>
      <c r="E256" s="20">
        <v>23.56</v>
      </c>
    </row>
    <row r="257" spans="1:5" x14ac:dyDescent="0.35">
      <c r="A257" s="6">
        <f t="shared" si="3"/>
        <v>1255</v>
      </c>
      <c r="B257" s="1" t="s">
        <v>6</v>
      </c>
      <c r="C257" s="20">
        <v>32.619999999999997</v>
      </c>
      <c r="D257" s="1">
        <f>Table4[[#This Row],[Quantity sold]]+5</f>
        <v>15</v>
      </c>
      <c r="E257" s="20">
        <v>6.524</v>
      </c>
    </row>
    <row r="258" spans="1:5" x14ac:dyDescent="0.35">
      <c r="A258" s="6">
        <f t="shared" si="3"/>
        <v>1256</v>
      </c>
      <c r="B258" s="1" t="s">
        <v>2</v>
      </c>
      <c r="C258" s="20">
        <v>66.349999999999994</v>
      </c>
      <c r="D258" s="1">
        <f>Table4[[#This Row],[Quantity sold]]+5</f>
        <v>10</v>
      </c>
      <c r="E258" s="20">
        <v>3.3174999999999999</v>
      </c>
    </row>
    <row r="259" spans="1:5" x14ac:dyDescent="0.35">
      <c r="A259" s="6">
        <f t="shared" si="3"/>
        <v>1257</v>
      </c>
      <c r="B259" s="1" t="s">
        <v>3</v>
      </c>
      <c r="C259" s="20">
        <v>25.91</v>
      </c>
      <c r="D259" s="1">
        <f>Table4[[#This Row],[Quantity sold]]+5</f>
        <v>8</v>
      </c>
      <c r="E259" s="20">
        <v>7.7729999999999997</v>
      </c>
    </row>
    <row r="260" spans="1:5" x14ac:dyDescent="0.35">
      <c r="A260" s="6">
        <f t="shared" si="3"/>
        <v>1258</v>
      </c>
      <c r="B260" s="1" t="s">
        <v>2</v>
      </c>
      <c r="C260" s="20">
        <v>32.25</v>
      </c>
      <c r="D260" s="1">
        <f>Table4[[#This Row],[Quantity sold]]+5</f>
        <v>13</v>
      </c>
      <c r="E260" s="20">
        <v>6.45</v>
      </c>
    </row>
    <row r="261" spans="1:5" x14ac:dyDescent="0.35">
      <c r="A261" s="6">
        <f t="shared" ref="A261:A324" si="4">A260+1</f>
        <v>1259</v>
      </c>
      <c r="B261" s="1" t="s">
        <v>2</v>
      </c>
      <c r="C261" s="20">
        <v>65.94</v>
      </c>
      <c r="D261" s="1">
        <f>Table4[[#This Row],[Quantity sold]]+5</f>
        <v>13</v>
      </c>
      <c r="E261" s="20">
        <v>13.188000000000001</v>
      </c>
    </row>
    <row r="262" spans="1:5" x14ac:dyDescent="0.35">
      <c r="A262" s="6">
        <f t="shared" si="4"/>
        <v>1260</v>
      </c>
      <c r="B262" s="1" t="s">
        <v>2</v>
      </c>
      <c r="C262" s="20">
        <v>75.06</v>
      </c>
      <c r="D262" s="1">
        <f>Table4[[#This Row],[Quantity sold]]+5</f>
        <v>10</v>
      </c>
      <c r="E262" s="20">
        <v>33.777000000000001</v>
      </c>
    </row>
    <row r="263" spans="1:5" x14ac:dyDescent="0.35">
      <c r="A263" s="6">
        <f t="shared" si="4"/>
        <v>1261</v>
      </c>
      <c r="B263" s="1" t="s">
        <v>6</v>
      </c>
      <c r="C263" s="20">
        <v>16.45</v>
      </c>
      <c r="D263" s="1">
        <f>Table4[[#This Row],[Quantity sold]]+5</f>
        <v>9</v>
      </c>
      <c r="E263" s="20">
        <v>3.29</v>
      </c>
    </row>
    <row r="264" spans="1:5" x14ac:dyDescent="0.35">
      <c r="A264" s="6">
        <f t="shared" si="4"/>
        <v>1262</v>
      </c>
      <c r="B264" s="1" t="s">
        <v>6</v>
      </c>
      <c r="C264" s="20">
        <v>38.299999999999997</v>
      </c>
      <c r="D264" s="1">
        <f>Table4[[#This Row],[Quantity sold]]+5</f>
        <v>9</v>
      </c>
      <c r="E264" s="20">
        <v>7.66</v>
      </c>
    </row>
    <row r="265" spans="1:5" x14ac:dyDescent="0.35">
      <c r="A265" s="6">
        <f t="shared" si="4"/>
        <v>1263</v>
      </c>
      <c r="B265" s="1" t="s">
        <v>4</v>
      </c>
      <c r="C265" s="20">
        <v>22.24</v>
      </c>
      <c r="D265" s="1">
        <f>Table4[[#This Row],[Quantity sold]]+5</f>
        <v>10</v>
      </c>
      <c r="E265" s="20">
        <v>11.12</v>
      </c>
    </row>
    <row r="266" spans="1:5" x14ac:dyDescent="0.35">
      <c r="A266" s="6">
        <f t="shared" si="4"/>
        <v>1264</v>
      </c>
      <c r="B266" s="1" t="s">
        <v>4</v>
      </c>
      <c r="C266" s="20">
        <v>54.45</v>
      </c>
      <c r="D266" s="1">
        <f>Table4[[#This Row],[Quantity sold]]+5</f>
        <v>7</v>
      </c>
      <c r="E266" s="20">
        <v>2.7225000000000001</v>
      </c>
    </row>
    <row r="267" spans="1:5" x14ac:dyDescent="0.35">
      <c r="A267" s="6">
        <f t="shared" si="4"/>
        <v>1265</v>
      </c>
      <c r="B267" s="1" t="s">
        <v>4</v>
      </c>
      <c r="C267" s="20">
        <v>98.4</v>
      </c>
      <c r="D267" s="1">
        <f>Table4[[#This Row],[Quantity sold]]+5</f>
        <v>12</v>
      </c>
      <c r="E267" s="20">
        <v>34.44</v>
      </c>
    </row>
    <row r="268" spans="1:5" x14ac:dyDescent="0.35">
      <c r="A268" s="6">
        <f t="shared" si="4"/>
        <v>1266</v>
      </c>
      <c r="B268" s="1" t="s">
        <v>3</v>
      </c>
      <c r="C268" s="20">
        <v>35.47</v>
      </c>
      <c r="D268" s="1">
        <f>Table4[[#This Row],[Quantity sold]]+5</f>
        <v>9</v>
      </c>
      <c r="E268" s="20">
        <v>7.0940000000000003</v>
      </c>
    </row>
    <row r="269" spans="1:5" x14ac:dyDescent="0.35">
      <c r="A269" s="6">
        <f t="shared" si="4"/>
        <v>1267</v>
      </c>
      <c r="B269" s="1" t="s">
        <v>5</v>
      </c>
      <c r="C269" s="20">
        <v>74.599999999999994</v>
      </c>
      <c r="D269" s="1">
        <f>Table4[[#This Row],[Quantity sold]]+5</f>
        <v>11</v>
      </c>
      <c r="E269" s="20">
        <v>37.299999999999997</v>
      </c>
    </row>
    <row r="270" spans="1:5" x14ac:dyDescent="0.35">
      <c r="A270" s="6">
        <f t="shared" si="4"/>
        <v>1268</v>
      </c>
      <c r="B270" s="1" t="s">
        <v>3</v>
      </c>
      <c r="C270" s="20">
        <v>70.739999999999995</v>
      </c>
      <c r="D270" s="1">
        <f>Table4[[#This Row],[Quantity sold]]+5</f>
        <v>9</v>
      </c>
      <c r="E270" s="20">
        <v>14.148</v>
      </c>
    </row>
    <row r="271" spans="1:5" x14ac:dyDescent="0.35">
      <c r="A271" s="6">
        <f t="shared" si="4"/>
        <v>1269</v>
      </c>
      <c r="B271" s="1" t="s">
        <v>3</v>
      </c>
      <c r="C271" s="20">
        <v>35.54</v>
      </c>
      <c r="D271" s="1">
        <f>Table4[[#This Row],[Quantity sold]]+5</f>
        <v>11</v>
      </c>
      <c r="E271" s="20">
        <v>17.77</v>
      </c>
    </row>
    <row r="272" spans="1:5" x14ac:dyDescent="0.35">
      <c r="A272" s="6">
        <f t="shared" si="4"/>
        <v>1270</v>
      </c>
      <c r="B272" s="1" t="s">
        <v>4</v>
      </c>
      <c r="C272" s="20">
        <v>67.430000000000007</v>
      </c>
      <c r="D272" s="1">
        <f>Table4[[#This Row],[Quantity sold]]+5</f>
        <v>14</v>
      </c>
      <c r="E272" s="20">
        <v>16.857500000000002</v>
      </c>
    </row>
    <row r="273" spans="1:5" x14ac:dyDescent="0.35">
      <c r="A273" s="6">
        <f t="shared" si="4"/>
        <v>1271</v>
      </c>
      <c r="B273" s="1" t="s">
        <v>1</v>
      </c>
      <c r="C273" s="20">
        <v>21.12</v>
      </c>
      <c r="D273" s="1">
        <f>Table4[[#This Row],[Quantity sold]]+5</f>
        <v>14</v>
      </c>
      <c r="E273" s="20">
        <v>2.1120000000000001</v>
      </c>
    </row>
    <row r="274" spans="1:5" x14ac:dyDescent="0.35">
      <c r="A274" s="6">
        <f t="shared" si="4"/>
        <v>1272</v>
      </c>
      <c r="B274" s="1" t="s">
        <v>3</v>
      </c>
      <c r="C274" s="20">
        <v>21.54</v>
      </c>
      <c r="D274" s="1">
        <f>Table4[[#This Row],[Quantity sold]]+5</f>
        <v>8</v>
      </c>
      <c r="E274" s="20">
        <v>9.6929999999999996</v>
      </c>
    </row>
    <row r="275" spans="1:5" x14ac:dyDescent="0.35">
      <c r="A275" s="6">
        <f t="shared" si="4"/>
        <v>1273</v>
      </c>
      <c r="B275" s="1" t="s">
        <v>3</v>
      </c>
      <c r="C275" s="20">
        <v>12.03</v>
      </c>
      <c r="D275" s="1">
        <f>Table4[[#This Row],[Quantity sold]]+5</f>
        <v>8</v>
      </c>
      <c r="E275" s="20">
        <v>1.2030000000000001</v>
      </c>
    </row>
    <row r="276" spans="1:5" x14ac:dyDescent="0.35">
      <c r="A276" s="6">
        <f t="shared" si="4"/>
        <v>1274</v>
      </c>
      <c r="B276" s="1" t="s">
        <v>1</v>
      </c>
      <c r="C276" s="20">
        <v>99.71</v>
      </c>
      <c r="D276" s="1">
        <f>Table4[[#This Row],[Quantity sold]]+5</f>
        <v>15</v>
      </c>
      <c r="E276" s="20">
        <v>29.913</v>
      </c>
    </row>
    <row r="277" spans="1:5" x14ac:dyDescent="0.35">
      <c r="A277" s="6">
        <f t="shared" si="4"/>
        <v>1275</v>
      </c>
      <c r="B277" s="1" t="s">
        <v>6</v>
      </c>
      <c r="C277" s="20">
        <v>47.97</v>
      </c>
      <c r="D277" s="1">
        <f>Table4[[#This Row],[Quantity sold]]+5</f>
        <v>12</v>
      </c>
      <c r="E277" s="20">
        <v>16.7895</v>
      </c>
    </row>
    <row r="278" spans="1:5" x14ac:dyDescent="0.35">
      <c r="A278" s="6">
        <f t="shared" si="4"/>
        <v>1276</v>
      </c>
      <c r="B278" s="1" t="s">
        <v>3</v>
      </c>
      <c r="C278" s="20">
        <v>21.82</v>
      </c>
      <c r="D278" s="1">
        <f>Table4[[#This Row],[Quantity sold]]+5</f>
        <v>6</v>
      </c>
      <c r="E278" s="20">
        <v>10.91</v>
      </c>
    </row>
    <row r="279" spans="1:5" x14ac:dyDescent="0.35">
      <c r="A279" s="6">
        <f t="shared" si="4"/>
        <v>1277</v>
      </c>
      <c r="B279" s="1" t="s">
        <v>6</v>
      </c>
      <c r="C279" s="20">
        <v>95.42</v>
      </c>
      <c r="D279" s="1">
        <f>Table4[[#This Row],[Quantity sold]]+5</f>
        <v>10</v>
      </c>
      <c r="E279" s="20">
        <v>19.084</v>
      </c>
    </row>
    <row r="280" spans="1:5" x14ac:dyDescent="0.35">
      <c r="A280" s="6">
        <f t="shared" si="4"/>
        <v>1278</v>
      </c>
      <c r="B280" s="1" t="s">
        <v>6</v>
      </c>
      <c r="C280" s="20">
        <v>70.989999999999995</v>
      </c>
      <c r="D280" s="1">
        <f>Table4[[#This Row],[Quantity sold]]+5</f>
        <v>7</v>
      </c>
      <c r="E280" s="20">
        <v>35.494999999999997</v>
      </c>
    </row>
    <row r="281" spans="1:5" x14ac:dyDescent="0.35">
      <c r="A281" s="6">
        <f t="shared" si="4"/>
        <v>1279</v>
      </c>
      <c r="B281" s="1" t="s">
        <v>4</v>
      </c>
      <c r="C281" s="20">
        <v>44.02</v>
      </c>
      <c r="D281" s="1">
        <f>Table4[[#This Row],[Quantity sold]]+5</f>
        <v>11</v>
      </c>
      <c r="E281" s="20">
        <v>22.01</v>
      </c>
    </row>
    <row r="282" spans="1:5" x14ac:dyDescent="0.35">
      <c r="A282" s="6">
        <f t="shared" si="4"/>
        <v>1280</v>
      </c>
      <c r="B282" s="1" t="s">
        <v>3</v>
      </c>
      <c r="C282" s="20">
        <v>69.959999999999994</v>
      </c>
      <c r="D282" s="1">
        <v>12</v>
      </c>
      <c r="E282" s="20">
        <v>27.984000000000002</v>
      </c>
    </row>
    <row r="283" spans="1:5" x14ac:dyDescent="0.35">
      <c r="A283" s="6">
        <f t="shared" si="4"/>
        <v>1281</v>
      </c>
      <c r="B283" s="1" t="s">
        <v>3</v>
      </c>
      <c r="C283" s="20">
        <v>37</v>
      </c>
      <c r="D283" s="1">
        <f>Table4[[#This Row],[Quantity sold]]+5</f>
        <v>15</v>
      </c>
      <c r="E283" s="20">
        <v>1.85</v>
      </c>
    </row>
    <row r="284" spans="1:5" x14ac:dyDescent="0.35">
      <c r="A284" s="6">
        <f t="shared" si="4"/>
        <v>1282</v>
      </c>
      <c r="B284" s="1" t="s">
        <v>4</v>
      </c>
      <c r="C284" s="20">
        <v>15.34</v>
      </c>
      <c r="D284" s="1">
        <f>Table4[[#This Row],[Quantity sold]]+5</f>
        <v>14</v>
      </c>
      <c r="E284" s="20">
        <v>0.76700000000000002</v>
      </c>
    </row>
    <row r="285" spans="1:5" x14ac:dyDescent="0.35">
      <c r="A285" s="6">
        <f t="shared" si="4"/>
        <v>1283</v>
      </c>
      <c r="B285" s="1" t="s">
        <v>1</v>
      </c>
      <c r="C285" s="20">
        <v>99.83</v>
      </c>
      <c r="D285" s="1">
        <f>Table4[[#This Row],[Quantity sold]]+5</f>
        <v>6</v>
      </c>
      <c r="E285" s="20">
        <v>29.949000000000002</v>
      </c>
    </row>
    <row r="286" spans="1:5" x14ac:dyDescent="0.35">
      <c r="A286" s="6">
        <f t="shared" si="4"/>
        <v>1284</v>
      </c>
      <c r="B286" s="1" t="s">
        <v>1</v>
      </c>
      <c r="C286" s="20">
        <v>47.67</v>
      </c>
      <c r="D286" s="1">
        <f>Table4[[#This Row],[Quantity sold]]+5</f>
        <v>8</v>
      </c>
      <c r="E286" s="20">
        <v>9.5340000000000007</v>
      </c>
    </row>
    <row r="287" spans="1:5" x14ac:dyDescent="0.35">
      <c r="A287" s="6">
        <f t="shared" si="4"/>
        <v>1285</v>
      </c>
      <c r="B287" s="1" t="s">
        <v>1</v>
      </c>
      <c r="C287" s="20">
        <v>66.680000000000007</v>
      </c>
      <c r="D287" s="1">
        <f>Table4[[#This Row],[Quantity sold]]+5</f>
        <v>7</v>
      </c>
      <c r="E287" s="20">
        <v>16.670000000000002</v>
      </c>
    </row>
    <row r="288" spans="1:5" x14ac:dyDescent="0.35">
      <c r="A288" s="6">
        <f t="shared" si="4"/>
        <v>1286</v>
      </c>
      <c r="B288" s="1" t="s">
        <v>3</v>
      </c>
      <c r="C288" s="20">
        <v>74.86</v>
      </c>
      <c r="D288" s="1">
        <f>Table4[[#This Row],[Quantity sold]]+5</f>
        <v>10</v>
      </c>
      <c r="E288" s="20">
        <v>3.7429999999999999</v>
      </c>
    </row>
    <row r="289" spans="1:5" x14ac:dyDescent="0.35">
      <c r="A289" s="6">
        <f t="shared" si="4"/>
        <v>1287</v>
      </c>
      <c r="B289" s="1" t="s">
        <v>4</v>
      </c>
      <c r="C289" s="20">
        <v>23.75</v>
      </c>
      <c r="D289" s="1">
        <f>Table4[[#This Row],[Quantity sold]]+5</f>
        <v>15</v>
      </c>
      <c r="E289" s="20">
        <v>10.6875</v>
      </c>
    </row>
    <row r="290" spans="1:5" x14ac:dyDescent="0.35">
      <c r="A290" s="6">
        <f t="shared" si="4"/>
        <v>1288</v>
      </c>
      <c r="B290" s="1" t="s">
        <v>5</v>
      </c>
      <c r="C290" s="20">
        <v>48.51</v>
      </c>
      <c r="D290" s="1">
        <f>Table4[[#This Row],[Quantity sold]]+5</f>
        <v>9</v>
      </c>
      <c r="E290" s="20">
        <v>16.9785</v>
      </c>
    </row>
    <row r="291" spans="1:5" x14ac:dyDescent="0.35">
      <c r="A291" s="6">
        <f t="shared" si="4"/>
        <v>1289</v>
      </c>
      <c r="B291" s="1" t="s">
        <v>3</v>
      </c>
      <c r="C291" s="20">
        <v>94.88</v>
      </c>
      <c r="D291" s="1">
        <f>Table4[[#This Row],[Quantity sold]]+5</f>
        <v>12</v>
      </c>
      <c r="E291" s="20">
        <v>33.207999999999998</v>
      </c>
    </row>
    <row r="292" spans="1:5" x14ac:dyDescent="0.35">
      <c r="A292" s="6">
        <f t="shared" si="4"/>
        <v>1290</v>
      </c>
      <c r="B292" s="1" t="s">
        <v>2</v>
      </c>
      <c r="C292" s="20">
        <v>40.299999999999997</v>
      </c>
      <c r="D292" s="1">
        <f>Table4[[#This Row],[Quantity sold]]+5</f>
        <v>11</v>
      </c>
      <c r="E292" s="20">
        <v>20.149999999999999</v>
      </c>
    </row>
    <row r="293" spans="1:5" x14ac:dyDescent="0.35">
      <c r="A293" s="6">
        <f t="shared" si="4"/>
        <v>1291</v>
      </c>
      <c r="B293" s="1" t="s">
        <v>2</v>
      </c>
      <c r="C293" s="20">
        <v>27.85</v>
      </c>
      <c r="D293" s="1">
        <f>Table4[[#This Row],[Quantity sold]]+5</f>
        <v>8</v>
      </c>
      <c r="E293" s="20">
        <v>9.7475000000000005</v>
      </c>
    </row>
    <row r="294" spans="1:5" x14ac:dyDescent="0.35">
      <c r="A294" s="6">
        <f t="shared" si="4"/>
        <v>1292</v>
      </c>
      <c r="B294" s="1" t="s">
        <v>2</v>
      </c>
      <c r="C294" s="20">
        <v>62.48</v>
      </c>
      <c r="D294" s="1">
        <f>Table4[[#This Row],[Quantity sold]]+5</f>
        <v>11</v>
      </c>
      <c r="E294" s="20">
        <v>3.1240000000000001</v>
      </c>
    </row>
    <row r="295" spans="1:5" x14ac:dyDescent="0.35">
      <c r="A295" s="6">
        <f t="shared" si="4"/>
        <v>1293</v>
      </c>
      <c r="B295" s="1" t="s">
        <v>5</v>
      </c>
      <c r="C295" s="20">
        <v>36.36</v>
      </c>
      <c r="D295" s="1">
        <f>Table4[[#This Row],[Quantity sold]]+5</f>
        <v>14</v>
      </c>
      <c r="E295" s="20">
        <v>3.6360000000000001</v>
      </c>
    </row>
    <row r="296" spans="1:5" x14ac:dyDescent="0.35">
      <c r="A296" s="6">
        <f t="shared" si="4"/>
        <v>1294</v>
      </c>
      <c r="B296" s="1" t="s">
        <v>1</v>
      </c>
      <c r="C296" s="20">
        <v>18.11</v>
      </c>
      <c r="D296" s="1">
        <f>Table4[[#This Row],[Quantity sold]]+5</f>
        <v>6</v>
      </c>
      <c r="E296" s="20">
        <v>9.0549999999999997</v>
      </c>
    </row>
    <row r="297" spans="1:5" x14ac:dyDescent="0.35">
      <c r="A297" s="6">
        <f t="shared" si="4"/>
        <v>1295</v>
      </c>
      <c r="B297" s="1" t="s">
        <v>2</v>
      </c>
      <c r="C297" s="20">
        <v>51.92</v>
      </c>
      <c r="D297" s="1">
        <f>Table4[[#This Row],[Quantity sold]]+5</f>
        <v>12</v>
      </c>
      <c r="E297" s="20">
        <v>12.98</v>
      </c>
    </row>
    <row r="298" spans="1:5" x14ac:dyDescent="0.35">
      <c r="A298" s="6">
        <f t="shared" si="4"/>
        <v>1296</v>
      </c>
      <c r="B298" s="1" t="s">
        <v>2</v>
      </c>
      <c r="C298" s="20">
        <v>28.84</v>
      </c>
      <c r="D298" s="1">
        <f>Table4[[#This Row],[Quantity sold]]+5</f>
        <v>10</v>
      </c>
      <c r="E298" s="20">
        <v>5.7679999999999998</v>
      </c>
    </row>
    <row r="299" spans="1:5" x14ac:dyDescent="0.35">
      <c r="A299" s="6">
        <f t="shared" si="4"/>
        <v>1297</v>
      </c>
      <c r="B299" s="1" t="s">
        <v>3</v>
      </c>
      <c r="C299" s="20">
        <v>78.38</v>
      </c>
      <c r="D299" s="1">
        <f>Table4[[#This Row],[Quantity sold]]+5</f>
        <v>9</v>
      </c>
      <c r="E299" s="20">
        <v>23.513999999999999</v>
      </c>
    </row>
    <row r="300" spans="1:5" x14ac:dyDescent="0.35">
      <c r="A300" s="6">
        <f t="shared" si="4"/>
        <v>1298</v>
      </c>
      <c r="B300" s="1" t="s">
        <v>3</v>
      </c>
      <c r="C300" s="20">
        <v>60.01</v>
      </c>
      <c r="D300" s="1">
        <f>Table4[[#This Row],[Quantity sold]]+5</f>
        <v>14</v>
      </c>
      <c r="E300" s="20">
        <v>12.002000000000001</v>
      </c>
    </row>
    <row r="301" spans="1:5" x14ac:dyDescent="0.35">
      <c r="A301" s="6">
        <f t="shared" si="4"/>
        <v>1299</v>
      </c>
      <c r="B301" s="1" t="s">
        <v>3</v>
      </c>
      <c r="C301" s="20">
        <v>88.61</v>
      </c>
      <c r="D301" s="1">
        <f>Table4[[#This Row],[Quantity sold]]+5</f>
        <v>7</v>
      </c>
      <c r="E301" s="20">
        <v>4.4305000000000003</v>
      </c>
    </row>
    <row r="302" spans="1:5" x14ac:dyDescent="0.35">
      <c r="A302" s="6">
        <f t="shared" si="4"/>
        <v>1300</v>
      </c>
      <c r="B302" s="1" t="s">
        <v>6</v>
      </c>
      <c r="C302" s="20">
        <v>99.82</v>
      </c>
      <c r="D302" s="1">
        <f>Table4[[#This Row],[Quantity sold]]+5</f>
        <v>11</v>
      </c>
      <c r="E302" s="20">
        <v>9.9819999999999993</v>
      </c>
    </row>
    <row r="303" spans="1:5" x14ac:dyDescent="0.35">
      <c r="A303" s="6">
        <f t="shared" si="4"/>
        <v>1301</v>
      </c>
      <c r="B303" s="1" t="s">
        <v>1</v>
      </c>
      <c r="C303" s="20">
        <v>39.01</v>
      </c>
      <c r="D303" s="1">
        <f>Table4[[#This Row],[Quantity sold]]+5</f>
        <v>15</v>
      </c>
      <c r="E303" s="20">
        <v>1.9504999999999999</v>
      </c>
    </row>
    <row r="304" spans="1:5" x14ac:dyDescent="0.35">
      <c r="A304" s="6">
        <f t="shared" si="4"/>
        <v>1302</v>
      </c>
      <c r="B304" s="1" t="s">
        <v>5</v>
      </c>
      <c r="C304" s="20">
        <v>48.61</v>
      </c>
      <c r="D304" s="1">
        <f>Table4[[#This Row],[Quantity sold]]+5</f>
        <v>15</v>
      </c>
      <c r="E304" s="20">
        <v>2.4304999999999999</v>
      </c>
    </row>
    <row r="305" spans="1:5" x14ac:dyDescent="0.35">
      <c r="A305" s="6">
        <f t="shared" si="4"/>
        <v>1303</v>
      </c>
      <c r="B305" s="1" t="s">
        <v>2</v>
      </c>
      <c r="C305" s="20">
        <v>51.19</v>
      </c>
      <c r="D305" s="1">
        <f>Table4[[#This Row],[Quantity sold]]+5</f>
        <v>11</v>
      </c>
      <c r="E305" s="20">
        <v>10.238</v>
      </c>
    </row>
    <row r="306" spans="1:5" x14ac:dyDescent="0.35">
      <c r="A306" s="6">
        <f t="shared" si="4"/>
        <v>1304</v>
      </c>
      <c r="B306" s="1" t="s">
        <v>2</v>
      </c>
      <c r="C306" s="20">
        <v>14.96</v>
      </c>
      <c r="D306" s="1">
        <f>Table4[[#This Row],[Quantity sold]]+5</f>
        <v>10</v>
      </c>
      <c r="E306" s="20">
        <v>5.984</v>
      </c>
    </row>
    <row r="307" spans="1:5" x14ac:dyDescent="0.35">
      <c r="A307" s="6">
        <f t="shared" si="4"/>
        <v>1305</v>
      </c>
      <c r="B307" s="1" t="s">
        <v>2</v>
      </c>
      <c r="C307" s="20">
        <v>72.2</v>
      </c>
      <c r="D307" s="1">
        <f>Table4[[#This Row],[Quantity sold]]+5</f>
        <v>6</v>
      </c>
      <c r="E307" s="20">
        <v>25.27</v>
      </c>
    </row>
    <row r="308" spans="1:5" x14ac:dyDescent="0.35">
      <c r="A308" s="6">
        <f t="shared" si="4"/>
        <v>1306</v>
      </c>
      <c r="B308" s="1" t="s">
        <v>4</v>
      </c>
      <c r="C308" s="20">
        <v>40.229999999999997</v>
      </c>
      <c r="D308" s="1">
        <f>Table4[[#This Row],[Quantity sold]]+5</f>
        <v>10</v>
      </c>
      <c r="E308" s="20">
        <v>14.080500000000001</v>
      </c>
    </row>
    <row r="309" spans="1:5" x14ac:dyDescent="0.35">
      <c r="A309" s="6">
        <f t="shared" si="4"/>
        <v>1307</v>
      </c>
      <c r="B309" s="1" t="s">
        <v>3</v>
      </c>
      <c r="C309" s="20">
        <v>88.79</v>
      </c>
      <c r="D309" s="1">
        <f>Table4[[#This Row],[Quantity sold]]+5</f>
        <v>8</v>
      </c>
      <c r="E309" s="20">
        <v>35.515999999999998</v>
      </c>
    </row>
    <row r="310" spans="1:5" x14ac:dyDescent="0.35">
      <c r="A310" s="6">
        <f t="shared" si="4"/>
        <v>1308</v>
      </c>
      <c r="B310" s="1" t="s">
        <v>2</v>
      </c>
      <c r="C310" s="20">
        <v>26.48</v>
      </c>
      <c r="D310" s="1">
        <f>Table4[[#This Row],[Quantity sold]]+5</f>
        <v>15</v>
      </c>
      <c r="E310" s="20">
        <v>3.972</v>
      </c>
    </row>
    <row r="311" spans="1:5" x14ac:dyDescent="0.35">
      <c r="A311" s="6">
        <f t="shared" si="4"/>
        <v>1309</v>
      </c>
      <c r="B311" s="1" t="s">
        <v>6</v>
      </c>
      <c r="C311" s="20">
        <v>81.91</v>
      </c>
      <c r="D311" s="1">
        <f>Table4[[#This Row],[Quantity sold]]+5</f>
        <v>9</v>
      </c>
      <c r="E311" s="20">
        <v>8.1910000000000007</v>
      </c>
    </row>
    <row r="312" spans="1:5" x14ac:dyDescent="0.35">
      <c r="A312" s="6">
        <f t="shared" si="4"/>
        <v>1310</v>
      </c>
      <c r="B312" s="1" t="s">
        <v>4</v>
      </c>
      <c r="C312" s="20">
        <v>79.930000000000007</v>
      </c>
      <c r="D312" s="1">
        <f>Table4[[#This Row],[Quantity sold]]+5</f>
        <v>6</v>
      </c>
      <c r="E312" s="20">
        <v>23.978999999999999</v>
      </c>
    </row>
    <row r="313" spans="1:5" x14ac:dyDescent="0.35">
      <c r="A313" s="6">
        <f t="shared" si="4"/>
        <v>1311</v>
      </c>
      <c r="B313" s="1" t="s">
        <v>6</v>
      </c>
      <c r="C313" s="20">
        <v>69.33</v>
      </c>
      <c r="D313" s="1">
        <f>Table4[[#This Row],[Quantity sold]]+5</f>
        <v>12</v>
      </c>
      <c r="E313" s="20">
        <v>6.9329999999999998</v>
      </c>
    </row>
    <row r="314" spans="1:5" x14ac:dyDescent="0.35">
      <c r="A314" s="6">
        <f t="shared" si="4"/>
        <v>1312</v>
      </c>
      <c r="B314" s="1" t="s">
        <v>5</v>
      </c>
      <c r="C314" s="20">
        <v>14.23</v>
      </c>
      <c r="D314" s="1">
        <f>Table4[[#This Row],[Quantity sold]]+5</f>
        <v>12</v>
      </c>
      <c r="E314" s="20">
        <v>3.5575000000000001</v>
      </c>
    </row>
    <row r="315" spans="1:5" x14ac:dyDescent="0.35">
      <c r="A315" s="6">
        <f t="shared" si="4"/>
        <v>1313</v>
      </c>
      <c r="B315" s="1" t="s">
        <v>1</v>
      </c>
      <c r="C315" s="20">
        <v>15.55</v>
      </c>
      <c r="D315" s="1">
        <f>Table4[[#This Row],[Quantity sold]]+5</f>
        <v>12</v>
      </c>
      <c r="E315" s="20">
        <v>6.9974999999999996</v>
      </c>
    </row>
    <row r="316" spans="1:5" x14ac:dyDescent="0.35">
      <c r="A316" s="6">
        <f t="shared" si="4"/>
        <v>1314</v>
      </c>
      <c r="B316" s="1" t="s">
        <v>2</v>
      </c>
      <c r="C316" s="20">
        <v>78.13</v>
      </c>
      <c r="D316" s="1">
        <f>Table4[[#This Row],[Quantity sold]]+5</f>
        <v>7</v>
      </c>
      <c r="E316" s="20">
        <v>39.064999999999998</v>
      </c>
    </row>
    <row r="317" spans="1:5" x14ac:dyDescent="0.35">
      <c r="A317" s="6">
        <f t="shared" si="4"/>
        <v>1315</v>
      </c>
      <c r="B317" s="1" t="s">
        <v>5</v>
      </c>
      <c r="C317" s="20">
        <v>99.37</v>
      </c>
      <c r="D317" s="1">
        <f>Table4[[#This Row],[Quantity sold]]+5</f>
        <v>12</v>
      </c>
      <c r="E317" s="20">
        <v>9.9369999999999994</v>
      </c>
    </row>
    <row r="318" spans="1:5" x14ac:dyDescent="0.35">
      <c r="A318" s="6">
        <f t="shared" si="4"/>
        <v>1316</v>
      </c>
      <c r="B318" s="1" t="s">
        <v>5</v>
      </c>
      <c r="C318" s="20">
        <v>21.08</v>
      </c>
      <c r="D318" s="1">
        <f>Table4[[#This Row],[Quantity sold]]+5</f>
        <v>14</v>
      </c>
      <c r="E318" s="20">
        <v>3.1619999999999999</v>
      </c>
    </row>
    <row r="319" spans="1:5" x14ac:dyDescent="0.35">
      <c r="A319" s="6">
        <f t="shared" si="4"/>
        <v>1317</v>
      </c>
      <c r="B319" s="1" t="s">
        <v>2</v>
      </c>
      <c r="C319" s="20">
        <v>74.790000000000006</v>
      </c>
      <c r="D319" s="1">
        <f>Table4[[#This Row],[Quantity sold]]+5</f>
        <v>13</v>
      </c>
      <c r="E319" s="20">
        <v>18.697500000000002</v>
      </c>
    </row>
    <row r="320" spans="1:5" x14ac:dyDescent="0.35">
      <c r="A320" s="6">
        <f t="shared" si="4"/>
        <v>1318</v>
      </c>
      <c r="B320" s="1" t="s">
        <v>1</v>
      </c>
      <c r="C320" s="20">
        <v>29.67</v>
      </c>
      <c r="D320" s="1">
        <f>Table4[[#This Row],[Quantity sold]]+5</f>
        <v>9</v>
      </c>
      <c r="E320" s="20">
        <v>10.384499999999999</v>
      </c>
    </row>
    <row r="321" spans="1:5" x14ac:dyDescent="0.35">
      <c r="A321" s="6">
        <f t="shared" si="4"/>
        <v>1319</v>
      </c>
      <c r="B321" s="1" t="s">
        <v>1</v>
      </c>
      <c r="C321" s="20">
        <v>44.07</v>
      </c>
      <c r="D321" s="1">
        <f>Table4[[#This Row],[Quantity sold]]+5</f>
        <v>9</v>
      </c>
      <c r="E321" s="20">
        <v>8.8140000000000001</v>
      </c>
    </row>
    <row r="322" spans="1:5" x14ac:dyDescent="0.35">
      <c r="A322" s="6">
        <f t="shared" si="4"/>
        <v>1320</v>
      </c>
      <c r="B322" s="1" t="s">
        <v>5</v>
      </c>
      <c r="C322" s="20">
        <v>22.93</v>
      </c>
      <c r="D322" s="1">
        <f>Table4[[#This Row],[Quantity sold]]+5</f>
        <v>14</v>
      </c>
      <c r="E322" s="20">
        <v>10.3185</v>
      </c>
    </row>
    <row r="323" spans="1:5" x14ac:dyDescent="0.35">
      <c r="A323" s="6">
        <f t="shared" si="4"/>
        <v>1321</v>
      </c>
      <c r="B323" s="1" t="s">
        <v>1</v>
      </c>
      <c r="C323" s="20">
        <v>39.42</v>
      </c>
      <c r="D323" s="1">
        <f>Table4[[#This Row],[Quantity sold]]+5</f>
        <v>9</v>
      </c>
      <c r="E323" s="20">
        <v>1.9710000000000001</v>
      </c>
    </row>
    <row r="324" spans="1:5" x14ac:dyDescent="0.35">
      <c r="A324" s="6">
        <f t="shared" si="4"/>
        <v>1322</v>
      </c>
      <c r="B324" s="1" t="s">
        <v>1</v>
      </c>
      <c r="C324" s="20">
        <v>15.26</v>
      </c>
      <c r="D324" s="1">
        <f>Table4[[#This Row],[Quantity sold]]+5</f>
        <v>14</v>
      </c>
      <c r="E324" s="20">
        <v>4.5780000000000003</v>
      </c>
    </row>
    <row r="325" spans="1:5" x14ac:dyDescent="0.35">
      <c r="A325" s="6">
        <f t="shared" ref="A325:A388" si="5">A324+1</f>
        <v>1323</v>
      </c>
      <c r="B325" s="1" t="s">
        <v>6</v>
      </c>
      <c r="C325" s="20">
        <v>61.77</v>
      </c>
      <c r="D325" s="1">
        <f>Table4[[#This Row],[Quantity sold]]+5</f>
        <v>10</v>
      </c>
      <c r="E325" s="20">
        <v>15.442500000000001</v>
      </c>
    </row>
    <row r="326" spans="1:5" x14ac:dyDescent="0.35">
      <c r="A326" s="6">
        <f t="shared" si="5"/>
        <v>1324</v>
      </c>
      <c r="B326" s="1" t="s">
        <v>3</v>
      </c>
      <c r="C326" s="20">
        <v>21.52</v>
      </c>
      <c r="D326" s="1">
        <f>Table4[[#This Row],[Quantity sold]]+5</f>
        <v>12</v>
      </c>
      <c r="E326" s="20">
        <v>6.4560000000000004</v>
      </c>
    </row>
    <row r="327" spans="1:5" x14ac:dyDescent="0.35">
      <c r="A327" s="6">
        <f t="shared" si="5"/>
        <v>1325</v>
      </c>
      <c r="B327" s="1" t="s">
        <v>4</v>
      </c>
      <c r="C327" s="20">
        <v>97.74</v>
      </c>
      <c r="D327" s="1">
        <f>Table4[[#This Row],[Quantity sold]]+5</f>
        <v>6</v>
      </c>
      <c r="E327" s="20">
        <v>19.547999999999998</v>
      </c>
    </row>
    <row r="328" spans="1:5" x14ac:dyDescent="0.35">
      <c r="A328" s="6">
        <f t="shared" si="5"/>
        <v>1326</v>
      </c>
      <c r="B328" s="1" t="s">
        <v>5</v>
      </c>
      <c r="C328" s="20">
        <v>99.78</v>
      </c>
      <c r="D328" s="1">
        <f>Table4[[#This Row],[Quantity sold]]+5</f>
        <v>9</v>
      </c>
      <c r="E328" s="20">
        <v>24.945</v>
      </c>
    </row>
    <row r="329" spans="1:5" x14ac:dyDescent="0.35">
      <c r="A329" s="6">
        <f t="shared" si="5"/>
        <v>1327</v>
      </c>
      <c r="B329" s="1" t="s">
        <v>5</v>
      </c>
      <c r="C329" s="20">
        <v>94.26</v>
      </c>
      <c r="D329" s="1">
        <f>Table4[[#This Row],[Quantity sold]]+5</f>
        <v>9</v>
      </c>
      <c r="E329" s="20">
        <v>18.852</v>
      </c>
    </row>
    <row r="330" spans="1:5" x14ac:dyDescent="0.35">
      <c r="A330" s="6">
        <f t="shared" si="5"/>
        <v>1328</v>
      </c>
      <c r="B330" s="1" t="s">
        <v>1</v>
      </c>
      <c r="C330" s="20">
        <v>51.13</v>
      </c>
      <c r="D330" s="1">
        <f>Table4[[#This Row],[Quantity sold]]+5</f>
        <v>6</v>
      </c>
      <c r="E330" s="20">
        <v>10.226000000000001</v>
      </c>
    </row>
    <row r="331" spans="1:5" x14ac:dyDescent="0.35">
      <c r="A331" s="6">
        <f t="shared" si="5"/>
        <v>1329</v>
      </c>
      <c r="B331" s="1" t="s">
        <v>2</v>
      </c>
      <c r="C331" s="20">
        <v>36.36</v>
      </c>
      <c r="D331" s="1">
        <f>Table4[[#This Row],[Quantity sold]]+5</f>
        <v>11</v>
      </c>
      <c r="E331" s="20">
        <v>7.2720000000000002</v>
      </c>
    </row>
    <row r="332" spans="1:5" x14ac:dyDescent="0.35">
      <c r="A332" s="6">
        <f t="shared" si="5"/>
        <v>1330</v>
      </c>
      <c r="B332" s="1" t="s">
        <v>3</v>
      </c>
      <c r="C332" s="20">
        <v>22.02</v>
      </c>
      <c r="D332" s="1">
        <f>Table4[[#This Row],[Quantity sold]]+5</f>
        <v>7</v>
      </c>
      <c r="E332" s="20">
        <v>9.9090000000000007</v>
      </c>
    </row>
    <row r="333" spans="1:5" x14ac:dyDescent="0.35">
      <c r="A333" s="6">
        <f t="shared" si="5"/>
        <v>1331</v>
      </c>
      <c r="B333" s="1" t="s">
        <v>5</v>
      </c>
      <c r="C333" s="20">
        <v>32.9</v>
      </c>
      <c r="D333" s="1">
        <f>Table4[[#This Row],[Quantity sold]]+5</f>
        <v>7</v>
      </c>
      <c r="E333" s="20">
        <v>4.9349999999999996</v>
      </c>
    </row>
    <row r="334" spans="1:5" x14ac:dyDescent="0.35">
      <c r="A334" s="6">
        <f t="shared" si="5"/>
        <v>1332</v>
      </c>
      <c r="B334" s="1" t="s">
        <v>6</v>
      </c>
      <c r="C334" s="20">
        <v>77.02</v>
      </c>
      <c r="D334" s="1">
        <f>Table4[[#This Row],[Quantity sold]]+5</f>
        <v>12</v>
      </c>
      <c r="E334" s="20">
        <v>19.254999999999999</v>
      </c>
    </row>
    <row r="335" spans="1:5" x14ac:dyDescent="0.35">
      <c r="A335" s="6">
        <f t="shared" si="5"/>
        <v>1333</v>
      </c>
      <c r="B335" s="1" t="s">
        <v>5</v>
      </c>
      <c r="C335" s="20">
        <v>23.48</v>
      </c>
      <c r="D335" s="1">
        <f>Table4[[#This Row],[Quantity sold]]+5</f>
        <v>7</v>
      </c>
      <c r="E335" s="20">
        <v>2.3479999999999999</v>
      </c>
    </row>
    <row r="336" spans="1:5" x14ac:dyDescent="0.35">
      <c r="A336" s="6">
        <f t="shared" si="5"/>
        <v>1334</v>
      </c>
      <c r="B336" s="1" t="s">
        <v>4</v>
      </c>
      <c r="C336" s="20">
        <v>14.7</v>
      </c>
      <c r="D336" s="1">
        <f>Table4[[#This Row],[Quantity sold]]+5</f>
        <v>8</v>
      </c>
      <c r="E336" s="20">
        <v>3.6749999999999998</v>
      </c>
    </row>
    <row r="337" spans="1:5" x14ac:dyDescent="0.35">
      <c r="A337" s="6">
        <f t="shared" si="5"/>
        <v>1335</v>
      </c>
      <c r="B337" s="1" t="s">
        <v>2</v>
      </c>
      <c r="C337" s="20">
        <v>28.45</v>
      </c>
      <c r="D337" s="1">
        <f>Table4[[#This Row],[Quantity sold]]+5</f>
        <v>15</v>
      </c>
      <c r="E337" s="20">
        <v>7.1124999999999998</v>
      </c>
    </row>
    <row r="338" spans="1:5" x14ac:dyDescent="0.35">
      <c r="A338" s="6">
        <f t="shared" si="5"/>
        <v>1336</v>
      </c>
      <c r="B338" s="1" t="s">
        <v>6</v>
      </c>
      <c r="C338" s="20">
        <v>76.400000000000006</v>
      </c>
      <c r="D338" s="1">
        <f>Table4[[#This Row],[Quantity sold]]+5</f>
        <v>9</v>
      </c>
      <c r="E338" s="20">
        <v>34.380000000000003</v>
      </c>
    </row>
    <row r="339" spans="1:5" x14ac:dyDescent="0.35">
      <c r="A339" s="6">
        <f t="shared" si="5"/>
        <v>1337</v>
      </c>
      <c r="B339" s="1" t="s">
        <v>4</v>
      </c>
      <c r="C339" s="20">
        <v>57.95</v>
      </c>
      <c r="D339" s="1">
        <f>Table4[[#This Row],[Quantity sold]]+5</f>
        <v>15</v>
      </c>
      <c r="E339" s="20">
        <v>17.385000000000002</v>
      </c>
    </row>
    <row r="340" spans="1:5" x14ac:dyDescent="0.35">
      <c r="A340" s="6">
        <f t="shared" si="5"/>
        <v>1338</v>
      </c>
      <c r="B340" s="1" t="s">
        <v>2</v>
      </c>
      <c r="C340" s="20">
        <v>47.65</v>
      </c>
      <c r="D340" s="1">
        <f>Table4[[#This Row],[Quantity sold]]+5</f>
        <v>9</v>
      </c>
      <c r="E340" s="20">
        <v>7.1475</v>
      </c>
    </row>
    <row r="341" spans="1:5" x14ac:dyDescent="0.35">
      <c r="A341" s="6">
        <f t="shared" si="5"/>
        <v>1339</v>
      </c>
      <c r="B341" s="1" t="s">
        <v>5</v>
      </c>
      <c r="C341" s="20">
        <v>42.82</v>
      </c>
      <c r="D341" s="1">
        <f>Table4[[#This Row],[Quantity sold]]+5</f>
        <v>12</v>
      </c>
      <c r="E341" s="20">
        <v>19.268999999999998</v>
      </c>
    </row>
    <row r="342" spans="1:5" x14ac:dyDescent="0.35">
      <c r="A342" s="6">
        <f t="shared" si="5"/>
        <v>1340</v>
      </c>
      <c r="B342" s="1" t="s">
        <v>2</v>
      </c>
      <c r="C342" s="20">
        <v>48.09</v>
      </c>
      <c r="D342" s="1">
        <f>Table4[[#This Row],[Quantity sold]]+5</f>
        <v>11</v>
      </c>
      <c r="E342" s="20">
        <v>7.2134999999999998</v>
      </c>
    </row>
    <row r="343" spans="1:5" x14ac:dyDescent="0.35">
      <c r="A343" s="6">
        <f t="shared" si="5"/>
        <v>1341</v>
      </c>
      <c r="B343" s="1" t="s">
        <v>1</v>
      </c>
      <c r="C343" s="20">
        <v>55.97</v>
      </c>
      <c r="D343" s="1">
        <f>Table4[[#This Row],[Quantity sold]]+5</f>
        <v>12</v>
      </c>
      <c r="E343" s="20">
        <v>19.589500000000001</v>
      </c>
    </row>
    <row r="344" spans="1:5" x14ac:dyDescent="0.35">
      <c r="A344" s="6">
        <f t="shared" si="5"/>
        <v>1342</v>
      </c>
      <c r="B344" s="1" t="s">
        <v>1</v>
      </c>
      <c r="C344" s="20">
        <v>76.900000000000006</v>
      </c>
      <c r="D344" s="1">
        <f>Table4[[#This Row],[Quantity sold]]+5</f>
        <v>15</v>
      </c>
      <c r="E344" s="20">
        <v>26.914999999999999</v>
      </c>
    </row>
    <row r="345" spans="1:5" x14ac:dyDescent="0.35">
      <c r="A345" s="6">
        <f t="shared" si="5"/>
        <v>1343</v>
      </c>
      <c r="B345" s="1" t="s">
        <v>5</v>
      </c>
      <c r="C345" s="20">
        <v>97.03</v>
      </c>
      <c r="D345" s="1">
        <f>Table4[[#This Row],[Quantity sold]]+5</f>
        <v>13</v>
      </c>
      <c r="E345" s="20">
        <v>24.2575</v>
      </c>
    </row>
    <row r="346" spans="1:5" x14ac:dyDescent="0.35">
      <c r="A346" s="6">
        <f t="shared" si="5"/>
        <v>1344</v>
      </c>
      <c r="B346" s="1" t="s">
        <v>4</v>
      </c>
      <c r="C346" s="20">
        <v>44.65</v>
      </c>
      <c r="D346" s="1">
        <f>Table4[[#This Row],[Quantity sold]]+5</f>
        <v>12</v>
      </c>
      <c r="E346" s="20">
        <v>6.6974999999999998</v>
      </c>
    </row>
    <row r="347" spans="1:5" x14ac:dyDescent="0.35">
      <c r="A347" s="6">
        <f t="shared" si="5"/>
        <v>1345</v>
      </c>
      <c r="B347" s="1" t="s">
        <v>6</v>
      </c>
      <c r="C347" s="20">
        <v>77.930000000000007</v>
      </c>
      <c r="D347" s="1">
        <f>Table4[[#This Row],[Quantity sold]]+5</f>
        <v>6</v>
      </c>
      <c r="E347" s="20">
        <v>35.0685</v>
      </c>
    </row>
    <row r="348" spans="1:5" x14ac:dyDescent="0.35">
      <c r="A348" s="6">
        <f t="shared" si="5"/>
        <v>1346</v>
      </c>
      <c r="B348" s="1" t="s">
        <v>2</v>
      </c>
      <c r="C348" s="20">
        <v>71.95</v>
      </c>
      <c r="D348" s="1">
        <f>Table4[[#This Row],[Quantity sold]]+5</f>
        <v>14</v>
      </c>
      <c r="E348" s="20">
        <v>3.5975000000000001</v>
      </c>
    </row>
    <row r="349" spans="1:5" x14ac:dyDescent="0.35">
      <c r="A349" s="6">
        <f t="shared" si="5"/>
        <v>1347</v>
      </c>
      <c r="B349" s="1" t="s">
        <v>3</v>
      </c>
      <c r="C349" s="20">
        <v>89.25</v>
      </c>
      <c r="D349" s="1">
        <f>Table4[[#This Row],[Quantity sold]]+5</f>
        <v>15</v>
      </c>
      <c r="E349" s="20">
        <v>35.700000000000003</v>
      </c>
    </row>
    <row r="350" spans="1:5" x14ac:dyDescent="0.35">
      <c r="A350" s="6">
        <f t="shared" si="5"/>
        <v>1348</v>
      </c>
      <c r="B350" s="1" t="s">
        <v>2</v>
      </c>
      <c r="C350" s="20">
        <v>26.02</v>
      </c>
      <c r="D350" s="1">
        <f>Table4[[#This Row],[Quantity sold]]+5</f>
        <v>6</v>
      </c>
      <c r="E350" s="20">
        <v>9.1069999999999993</v>
      </c>
    </row>
    <row r="351" spans="1:5" x14ac:dyDescent="0.35">
      <c r="A351" s="6">
        <f t="shared" si="5"/>
        <v>1349</v>
      </c>
      <c r="B351" s="1" t="s">
        <v>1</v>
      </c>
      <c r="C351" s="20">
        <v>13.5</v>
      </c>
      <c r="D351" s="1">
        <f>Table4[[#This Row],[Quantity sold]]+5</f>
        <v>14</v>
      </c>
      <c r="E351" s="20">
        <v>6.75</v>
      </c>
    </row>
    <row r="352" spans="1:5" x14ac:dyDescent="0.35">
      <c r="A352" s="6">
        <f t="shared" si="5"/>
        <v>1350</v>
      </c>
      <c r="B352" s="1" t="s">
        <v>6</v>
      </c>
      <c r="C352" s="20">
        <v>99.3</v>
      </c>
      <c r="D352" s="1">
        <f>Table4[[#This Row],[Quantity sold]]+5</f>
        <v>7</v>
      </c>
      <c r="E352" s="20">
        <v>49.65</v>
      </c>
    </row>
    <row r="353" spans="1:5" x14ac:dyDescent="0.35">
      <c r="A353" s="6">
        <f t="shared" si="5"/>
        <v>1351</v>
      </c>
      <c r="B353" s="1" t="s">
        <v>2</v>
      </c>
      <c r="C353" s="20">
        <v>51.69</v>
      </c>
      <c r="D353" s="1">
        <f>Table4[[#This Row],[Quantity sold]]+5</f>
        <v>6</v>
      </c>
      <c r="E353" s="20">
        <v>18.0915</v>
      </c>
    </row>
    <row r="354" spans="1:5" x14ac:dyDescent="0.35">
      <c r="A354" s="6">
        <f t="shared" si="5"/>
        <v>1352</v>
      </c>
      <c r="B354" s="1" t="s">
        <v>6</v>
      </c>
      <c r="C354" s="20">
        <v>54.73</v>
      </c>
      <c r="D354" s="1">
        <f>Table4[[#This Row],[Quantity sold]]+5</f>
        <v>6</v>
      </c>
      <c r="E354" s="20">
        <v>19.1555</v>
      </c>
    </row>
    <row r="355" spans="1:5" x14ac:dyDescent="0.35">
      <c r="A355" s="6">
        <f t="shared" si="5"/>
        <v>1353</v>
      </c>
      <c r="B355" s="1" t="s">
        <v>3</v>
      </c>
      <c r="C355" s="20">
        <v>27</v>
      </c>
      <c r="D355" s="1">
        <f>Table4[[#This Row],[Quantity sold]]+5</f>
        <v>15</v>
      </c>
      <c r="E355" s="20">
        <v>12.15</v>
      </c>
    </row>
    <row r="356" spans="1:5" x14ac:dyDescent="0.35">
      <c r="A356" s="6">
        <f t="shared" si="5"/>
        <v>1354</v>
      </c>
      <c r="B356" s="1" t="s">
        <v>2</v>
      </c>
      <c r="C356" s="20">
        <v>30.24</v>
      </c>
      <c r="D356" s="1">
        <f>Table4[[#This Row],[Quantity sold]]+5</f>
        <v>11</v>
      </c>
      <c r="E356" s="20">
        <v>1.512</v>
      </c>
    </row>
    <row r="357" spans="1:5" x14ac:dyDescent="0.35">
      <c r="A357" s="6">
        <f t="shared" si="5"/>
        <v>1355</v>
      </c>
      <c r="B357" s="1" t="s">
        <v>5</v>
      </c>
      <c r="C357" s="20">
        <v>89.14</v>
      </c>
      <c r="D357" s="1">
        <f>Table4[[#This Row],[Quantity sold]]+5</f>
        <v>15</v>
      </c>
      <c r="E357" s="20">
        <v>17.827999999999999</v>
      </c>
    </row>
    <row r="358" spans="1:5" x14ac:dyDescent="0.35">
      <c r="A358" s="6">
        <f t="shared" si="5"/>
        <v>1356</v>
      </c>
      <c r="B358" s="1" t="s">
        <v>6</v>
      </c>
      <c r="C358" s="20">
        <v>37.549999999999997</v>
      </c>
      <c r="D358" s="1">
        <f>Table4[[#This Row],[Quantity sold]]+5</f>
        <v>15</v>
      </c>
      <c r="E358" s="20">
        <v>18.774999999999999</v>
      </c>
    </row>
    <row r="359" spans="1:5" x14ac:dyDescent="0.35">
      <c r="A359" s="6">
        <f t="shared" si="5"/>
        <v>1357</v>
      </c>
      <c r="B359" s="1" t="s">
        <v>4</v>
      </c>
      <c r="C359" s="20">
        <v>95.44</v>
      </c>
      <c r="D359" s="1">
        <f>Table4[[#This Row],[Quantity sold]]+5</f>
        <v>15</v>
      </c>
      <c r="E359" s="20">
        <v>47.72</v>
      </c>
    </row>
    <row r="360" spans="1:5" x14ac:dyDescent="0.35">
      <c r="A360" s="6">
        <f t="shared" si="5"/>
        <v>1358</v>
      </c>
      <c r="B360" s="1" t="s">
        <v>2</v>
      </c>
      <c r="C360" s="20">
        <v>27.5</v>
      </c>
      <c r="D360" s="1">
        <f>Table4[[#This Row],[Quantity sold]]+5</f>
        <v>14</v>
      </c>
      <c r="E360" s="20">
        <v>4.125</v>
      </c>
    </row>
    <row r="361" spans="1:5" x14ac:dyDescent="0.35">
      <c r="A361" s="6">
        <f t="shared" si="5"/>
        <v>1359</v>
      </c>
      <c r="B361" s="1" t="s">
        <v>4</v>
      </c>
      <c r="C361" s="20">
        <v>74.97</v>
      </c>
      <c r="D361" s="1">
        <f>Table4[[#This Row],[Quantity sold]]+5</f>
        <v>6</v>
      </c>
      <c r="E361" s="20">
        <v>3.7484999999999999</v>
      </c>
    </row>
    <row r="362" spans="1:5" x14ac:dyDescent="0.35">
      <c r="A362" s="6">
        <f t="shared" si="5"/>
        <v>1360</v>
      </c>
      <c r="B362" s="1" t="s">
        <v>5</v>
      </c>
      <c r="C362" s="20">
        <v>80.959999999999994</v>
      </c>
      <c r="D362" s="1">
        <f>Table4[[#This Row],[Quantity sold]]+5</f>
        <v>14</v>
      </c>
      <c r="E362" s="20">
        <v>32.384</v>
      </c>
    </row>
    <row r="363" spans="1:5" x14ac:dyDescent="0.35">
      <c r="A363" s="6">
        <f t="shared" si="5"/>
        <v>1361</v>
      </c>
      <c r="B363" s="1" t="s">
        <v>5</v>
      </c>
      <c r="C363" s="20">
        <v>94.47</v>
      </c>
      <c r="D363" s="1">
        <f>Table4[[#This Row],[Quantity sold]]+5</f>
        <v>13</v>
      </c>
      <c r="E363" s="20">
        <v>37.787999999999997</v>
      </c>
    </row>
    <row r="364" spans="1:5" x14ac:dyDescent="0.35">
      <c r="A364" s="6">
        <f t="shared" si="5"/>
        <v>1362</v>
      </c>
      <c r="B364" s="1" t="s">
        <v>5</v>
      </c>
      <c r="C364" s="20">
        <v>99.79</v>
      </c>
      <c r="D364" s="1">
        <f>Table4[[#This Row],[Quantity sold]]+5</f>
        <v>6</v>
      </c>
      <c r="E364" s="20">
        <v>9.9789999999999992</v>
      </c>
    </row>
    <row r="365" spans="1:5" x14ac:dyDescent="0.35">
      <c r="A365" s="6">
        <f t="shared" si="5"/>
        <v>1363</v>
      </c>
      <c r="B365" s="1" t="s">
        <v>3</v>
      </c>
      <c r="C365" s="20">
        <v>73.22</v>
      </c>
      <c r="D365" s="1">
        <f>Table4[[#This Row],[Quantity sold]]+5</f>
        <v>15</v>
      </c>
      <c r="E365" s="20">
        <v>21.966000000000001</v>
      </c>
    </row>
    <row r="366" spans="1:5" x14ac:dyDescent="0.35">
      <c r="A366" s="6">
        <f t="shared" si="5"/>
        <v>1364</v>
      </c>
      <c r="B366" s="1" t="s">
        <v>5</v>
      </c>
      <c r="C366" s="20">
        <v>41.24</v>
      </c>
      <c r="D366" s="1">
        <f>Table4[[#This Row],[Quantity sold]]+5</f>
        <v>10</v>
      </c>
      <c r="E366" s="20">
        <v>8.2479999999999993</v>
      </c>
    </row>
    <row r="367" spans="1:5" x14ac:dyDescent="0.35">
      <c r="A367" s="6">
        <f t="shared" si="5"/>
        <v>1365</v>
      </c>
      <c r="B367" s="1" t="s">
        <v>6</v>
      </c>
      <c r="C367" s="20">
        <v>81.680000000000007</v>
      </c>
      <c r="D367" s="1">
        <f>Table4[[#This Row],[Quantity sold]]+5</f>
        <v>15</v>
      </c>
      <c r="E367" s="20">
        <v>16.335999999999999</v>
      </c>
    </row>
    <row r="368" spans="1:5" x14ac:dyDescent="0.35">
      <c r="A368" s="6">
        <f t="shared" si="5"/>
        <v>1366</v>
      </c>
      <c r="B368" s="1" t="s">
        <v>2</v>
      </c>
      <c r="C368" s="20">
        <v>51.32</v>
      </c>
      <c r="D368" s="1">
        <f>Table4[[#This Row],[Quantity sold]]+5</f>
        <v>7</v>
      </c>
      <c r="E368" s="20">
        <v>23.094000000000001</v>
      </c>
    </row>
    <row r="369" spans="1:5" x14ac:dyDescent="0.35">
      <c r="A369" s="6">
        <f t="shared" si="5"/>
        <v>1367</v>
      </c>
      <c r="B369" s="1" t="s">
        <v>3</v>
      </c>
      <c r="C369" s="20">
        <v>65.94</v>
      </c>
      <c r="D369" s="1">
        <f>Table4[[#This Row],[Quantity sold]]+5</f>
        <v>14</v>
      </c>
      <c r="E369" s="20">
        <v>13.188000000000001</v>
      </c>
    </row>
    <row r="370" spans="1:5" x14ac:dyDescent="0.35">
      <c r="A370" s="6">
        <f t="shared" si="5"/>
        <v>1368</v>
      </c>
      <c r="B370" s="1" t="s">
        <v>4</v>
      </c>
      <c r="C370" s="20">
        <v>14.36</v>
      </c>
      <c r="D370" s="1">
        <f>Table4[[#This Row],[Quantity sold]]+5</f>
        <v>6</v>
      </c>
      <c r="E370" s="20">
        <v>7.18</v>
      </c>
    </row>
    <row r="371" spans="1:5" x14ac:dyDescent="0.35">
      <c r="A371" s="6">
        <f t="shared" si="5"/>
        <v>1369</v>
      </c>
      <c r="B371" s="1" t="s">
        <v>2</v>
      </c>
      <c r="C371" s="20">
        <v>21.5</v>
      </c>
      <c r="D371" s="1">
        <f>Table4[[#This Row],[Quantity sold]]+5</f>
        <v>9</v>
      </c>
      <c r="E371" s="20">
        <v>9.6750000000000007</v>
      </c>
    </row>
    <row r="372" spans="1:5" x14ac:dyDescent="0.35">
      <c r="A372" s="6">
        <f t="shared" si="5"/>
        <v>1370</v>
      </c>
      <c r="B372" s="1" t="s">
        <v>2</v>
      </c>
      <c r="C372" s="20">
        <v>26.26</v>
      </c>
      <c r="D372" s="1">
        <f>Table4[[#This Row],[Quantity sold]]+5</f>
        <v>12</v>
      </c>
      <c r="E372" s="20">
        <v>9.1910000000000007</v>
      </c>
    </row>
    <row r="373" spans="1:5" x14ac:dyDescent="0.35">
      <c r="A373" s="6">
        <f t="shared" si="5"/>
        <v>1371</v>
      </c>
      <c r="B373" s="1" t="s">
        <v>6</v>
      </c>
      <c r="C373" s="20">
        <v>60.96</v>
      </c>
      <c r="D373" s="1">
        <f>Table4[[#This Row],[Quantity sold]]+5</f>
        <v>13</v>
      </c>
      <c r="E373" s="20">
        <v>6.0960000000000001</v>
      </c>
    </row>
    <row r="374" spans="1:5" x14ac:dyDescent="0.35">
      <c r="A374" s="6">
        <f t="shared" si="5"/>
        <v>1372</v>
      </c>
      <c r="B374" s="1" t="s">
        <v>3</v>
      </c>
      <c r="C374" s="20">
        <v>70.11</v>
      </c>
      <c r="D374" s="1">
        <f>Table4[[#This Row],[Quantity sold]]+5</f>
        <v>14</v>
      </c>
      <c r="E374" s="20">
        <v>21.033000000000001</v>
      </c>
    </row>
    <row r="375" spans="1:5" x14ac:dyDescent="0.35">
      <c r="A375" s="6">
        <f t="shared" si="5"/>
        <v>1373</v>
      </c>
      <c r="B375" s="1" t="s">
        <v>6</v>
      </c>
      <c r="C375" s="20">
        <v>42.08</v>
      </c>
      <c r="D375" s="1">
        <f>Table4[[#This Row],[Quantity sold]]+5</f>
        <v>12</v>
      </c>
      <c r="E375" s="20">
        <v>12.624000000000001</v>
      </c>
    </row>
    <row r="376" spans="1:5" x14ac:dyDescent="0.35">
      <c r="A376" s="6">
        <f t="shared" si="5"/>
        <v>1374</v>
      </c>
      <c r="B376" s="1" t="s">
        <v>3</v>
      </c>
      <c r="C376" s="20">
        <v>67.09</v>
      </c>
      <c r="D376" s="1">
        <f>Table4[[#This Row],[Quantity sold]]+5</f>
        <v>10</v>
      </c>
      <c r="E376" s="20">
        <v>16.772500000000001</v>
      </c>
    </row>
    <row r="377" spans="1:5" x14ac:dyDescent="0.35">
      <c r="A377" s="6">
        <f t="shared" si="5"/>
        <v>1375</v>
      </c>
      <c r="B377" s="1" t="s">
        <v>6</v>
      </c>
      <c r="C377" s="20">
        <v>96.7</v>
      </c>
      <c r="D377" s="1">
        <f>Table4[[#This Row],[Quantity sold]]+5</f>
        <v>10</v>
      </c>
      <c r="E377" s="20">
        <v>24.175000000000001</v>
      </c>
    </row>
    <row r="378" spans="1:5" x14ac:dyDescent="0.35">
      <c r="A378" s="6">
        <f t="shared" si="5"/>
        <v>1376</v>
      </c>
      <c r="B378" s="1" t="s">
        <v>3</v>
      </c>
      <c r="C378" s="20">
        <v>35.380000000000003</v>
      </c>
      <c r="D378" s="1">
        <f>Table4[[#This Row],[Quantity sold]]+5</f>
        <v>15</v>
      </c>
      <c r="E378" s="20">
        <v>15.920999999999999</v>
      </c>
    </row>
    <row r="379" spans="1:5" x14ac:dyDescent="0.35">
      <c r="A379" s="6">
        <f t="shared" si="5"/>
        <v>1377</v>
      </c>
      <c r="B379" s="1" t="s">
        <v>4</v>
      </c>
      <c r="C379" s="20">
        <v>95.49</v>
      </c>
      <c r="D379" s="1">
        <f>Table4[[#This Row],[Quantity sold]]+5</f>
        <v>7</v>
      </c>
      <c r="E379" s="20">
        <v>33.421500000000002</v>
      </c>
    </row>
    <row r="380" spans="1:5" x14ac:dyDescent="0.35">
      <c r="A380" s="6">
        <f t="shared" si="5"/>
        <v>1378</v>
      </c>
      <c r="B380" s="1" t="s">
        <v>6</v>
      </c>
      <c r="C380" s="20">
        <v>96.98</v>
      </c>
      <c r="D380" s="1">
        <f>Table4[[#This Row],[Quantity sold]]+5</f>
        <v>8</v>
      </c>
      <c r="E380" s="20">
        <v>19.396000000000001</v>
      </c>
    </row>
    <row r="381" spans="1:5" x14ac:dyDescent="0.35">
      <c r="A381" s="6">
        <f t="shared" si="5"/>
        <v>1379</v>
      </c>
      <c r="B381" s="1" t="s">
        <v>2</v>
      </c>
      <c r="C381" s="20">
        <v>23.65</v>
      </c>
      <c r="D381" s="1">
        <f>Table4[[#This Row],[Quantity sold]]+5</f>
        <v>12</v>
      </c>
      <c r="E381" s="20">
        <v>4.7300000000000004</v>
      </c>
    </row>
    <row r="382" spans="1:5" x14ac:dyDescent="0.35">
      <c r="A382" s="6">
        <f t="shared" si="5"/>
        <v>1380</v>
      </c>
      <c r="B382" s="1" t="s">
        <v>4</v>
      </c>
      <c r="C382" s="20">
        <v>82.33</v>
      </c>
      <c r="D382" s="1">
        <f>Table4[[#This Row],[Quantity sold]]+5</f>
        <v>8</v>
      </c>
      <c r="E382" s="20">
        <v>16.466000000000001</v>
      </c>
    </row>
    <row r="383" spans="1:5" x14ac:dyDescent="0.35">
      <c r="A383" s="6">
        <f t="shared" si="5"/>
        <v>1381</v>
      </c>
      <c r="B383" s="1" t="s">
        <v>2</v>
      </c>
      <c r="C383" s="20">
        <v>26.61</v>
      </c>
      <c r="D383" s="1">
        <f>Table4[[#This Row],[Quantity sold]]+5</f>
        <v>12</v>
      </c>
      <c r="E383" s="20">
        <v>2.661</v>
      </c>
    </row>
    <row r="384" spans="1:5" x14ac:dyDescent="0.35">
      <c r="A384" s="6">
        <f t="shared" si="5"/>
        <v>1382</v>
      </c>
      <c r="B384" s="1" t="s">
        <v>5</v>
      </c>
      <c r="C384" s="20">
        <v>99.69</v>
      </c>
      <c r="D384" s="1">
        <f>Table4[[#This Row],[Quantity sold]]+5</f>
        <v>10</v>
      </c>
      <c r="E384" s="20">
        <v>24.922499999999999</v>
      </c>
    </row>
    <row r="385" spans="1:5" x14ac:dyDescent="0.35">
      <c r="A385" s="6">
        <f t="shared" si="5"/>
        <v>1383</v>
      </c>
      <c r="B385" s="1" t="s">
        <v>5</v>
      </c>
      <c r="C385" s="20">
        <v>74.89</v>
      </c>
      <c r="D385" s="1">
        <f>Table4[[#This Row],[Quantity sold]]+5</f>
        <v>12</v>
      </c>
      <c r="E385" s="20">
        <v>14.978</v>
      </c>
    </row>
    <row r="386" spans="1:5" x14ac:dyDescent="0.35">
      <c r="A386" s="6">
        <f t="shared" si="5"/>
        <v>1384</v>
      </c>
      <c r="B386" s="1" t="s">
        <v>5</v>
      </c>
      <c r="C386" s="20">
        <v>40.94</v>
      </c>
      <c r="D386" s="1">
        <f>Table4[[#This Row],[Quantity sold]]+5</f>
        <v>7</v>
      </c>
      <c r="E386" s="20">
        <v>10.234999999999999</v>
      </c>
    </row>
    <row r="387" spans="1:5" x14ac:dyDescent="0.35">
      <c r="A387" s="6">
        <f t="shared" si="5"/>
        <v>1385</v>
      </c>
      <c r="B387" s="1" t="s">
        <v>4</v>
      </c>
      <c r="C387" s="20">
        <v>75.819999999999993</v>
      </c>
      <c r="D387" s="1">
        <f>Table4[[#This Row],[Quantity sold]]+5</f>
        <v>10</v>
      </c>
      <c r="E387" s="20">
        <v>3.7909999999999999</v>
      </c>
    </row>
    <row r="388" spans="1:5" x14ac:dyDescent="0.35">
      <c r="A388" s="6">
        <f t="shared" si="5"/>
        <v>1386</v>
      </c>
      <c r="B388" s="1" t="s">
        <v>5</v>
      </c>
      <c r="C388" s="20">
        <v>46.77</v>
      </c>
      <c r="D388" s="1">
        <f>Table4[[#This Row],[Quantity sold]]+5</f>
        <v>13</v>
      </c>
      <c r="E388" s="20">
        <v>14.031000000000001</v>
      </c>
    </row>
    <row r="389" spans="1:5" x14ac:dyDescent="0.35">
      <c r="A389" s="6">
        <f t="shared" ref="A389:A452" si="6">A388+1</f>
        <v>1387</v>
      </c>
      <c r="B389" s="1" t="s">
        <v>1</v>
      </c>
      <c r="C389" s="20">
        <v>32.32</v>
      </c>
      <c r="D389" s="1">
        <f>Table4[[#This Row],[Quantity sold]]+5</f>
        <v>13</v>
      </c>
      <c r="E389" s="20">
        <v>16.16</v>
      </c>
    </row>
    <row r="390" spans="1:5" x14ac:dyDescent="0.35">
      <c r="A390" s="6">
        <f t="shared" si="6"/>
        <v>1388</v>
      </c>
      <c r="B390" s="1" t="s">
        <v>6</v>
      </c>
      <c r="C390" s="20">
        <v>54.07</v>
      </c>
      <c r="D390" s="1">
        <f>Table4[[#This Row],[Quantity sold]]+5</f>
        <v>7</v>
      </c>
      <c r="E390" s="20">
        <v>24.331499999999998</v>
      </c>
    </row>
    <row r="391" spans="1:5" x14ac:dyDescent="0.35">
      <c r="A391" s="6">
        <f t="shared" si="6"/>
        <v>1389</v>
      </c>
      <c r="B391" s="1" t="s">
        <v>5</v>
      </c>
      <c r="C391" s="20">
        <v>18.22</v>
      </c>
      <c r="D391" s="1">
        <f>Table4[[#This Row],[Quantity sold]]+5</f>
        <v>10</v>
      </c>
      <c r="E391" s="20">
        <v>6.3769999999999998</v>
      </c>
    </row>
    <row r="392" spans="1:5" x14ac:dyDescent="0.35">
      <c r="A392" s="6">
        <f t="shared" si="6"/>
        <v>1390</v>
      </c>
      <c r="B392" s="1" t="s">
        <v>6</v>
      </c>
      <c r="C392" s="20">
        <v>80.48</v>
      </c>
      <c r="D392" s="1">
        <f>Table4[[#This Row],[Quantity sold]]+5</f>
        <v>9</v>
      </c>
      <c r="E392" s="20">
        <v>12.071999999999999</v>
      </c>
    </row>
    <row r="393" spans="1:5" x14ac:dyDescent="0.35">
      <c r="A393" s="6">
        <f t="shared" si="6"/>
        <v>1391</v>
      </c>
      <c r="B393" s="1" t="s">
        <v>6</v>
      </c>
      <c r="C393" s="20">
        <v>37.950000000000003</v>
      </c>
      <c r="D393" s="1">
        <f>Table4[[#This Row],[Quantity sold]]+5</f>
        <v>10</v>
      </c>
      <c r="E393" s="20">
        <v>18.975000000000001</v>
      </c>
    </row>
    <row r="394" spans="1:5" x14ac:dyDescent="0.35">
      <c r="A394" s="6">
        <f t="shared" si="6"/>
        <v>1392</v>
      </c>
      <c r="B394" s="1" t="s">
        <v>2</v>
      </c>
      <c r="C394" s="20">
        <v>76.819999999999993</v>
      </c>
      <c r="D394" s="1">
        <f>Table4[[#This Row],[Quantity sold]]+5</f>
        <v>9</v>
      </c>
      <c r="E394" s="20">
        <v>3.8410000000000002</v>
      </c>
    </row>
    <row r="395" spans="1:5" x14ac:dyDescent="0.35">
      <c r="A395" s="6">
        <f t="shared" si="6"/>
        <v>1393</v>
      </c>
      <c r="B395" s="1" t="s">
        <v>4</v>
      </c>
      <c r="C395" s="20">
        <v>52.26</v>
      </c>
      <c r="D395" s="1">
        <f>Table4[[#This Row],[Quantity sold]]+5</f>
        <v>7</v>
      </c>
      <c r="E395" s="20">
        <v>26.13</v>
      </c>
    </row>
    <row r="396" spans="1:5" x14ac:dyDescent="0.35">
      <c r="A396" s="6">
        <f t="shared" si="6"/>
        <v>1394</v>
      </c>
      <c r="B396" s="1" t="s">
        <v>1</v>
      </c>
      <c r="C396" s="20">
        <v>79.739999999999995</v>
      </c>
      <c r="D396" s="1">
        <f>Table4[[#This Row],[Quantity sold]]+5</f>
        <v>14</v>
      </c>
      <c r="E396" s="20">
        <v>3.9870000000000001</v>
      </c>
    </row>
    <row r="397" spans="1:5" x14ac:dyDescent="0.35">
      <c r="A397" s="6">
        <f t="shared" si="6"/>
        <v>1395</v>
      </c>
      <c r="B397" s="1" t="s">
        <v>1</v>
      </c>
      <c r="C397" s="20">
        <v>77.5</v>
      </c>
      <c r="D397" s="1">
        <f>Table4[[#This Row],[Quantity sold]]+5</f>
        <v>9</v>
      </c>
      <c r="E397" s="20">
        <v>19.375</v>
      </c>
    </row>
    <row r="398" spans="1:5" x14ac:dyDescent="0.35">
      <c r="A398" s="6">
        <f t="shared" si="6"/>
        <v>1396</v>
      </c>
      <c r="B398" s="1" t="s">
        <v>5</v>
      </c>
      <c r="C398" s="20">
        <v>54.27</v>
      </c>
      <c r="D398" s="1">
        <f>Table4[[#This Row],[Quantity sold]]+5</f>
        <v>6</v>
      </c>
      <c r="E398" s="20">
        <v>13.567500000000001</v>
      </c>
    </row>
    <row r="399" spans="1:5" x14ac:dyDescent="0.35">
      <c r="A399" s="6">
        <f t="shared" si="6"/>
        <v>1397</v>
      </c>
      <c r="B399" s="1" t="s">
        <v>3</v>
      </c>
      <c r="C399" s="20">
        <v>13.59</v>
      </c>
      <c r="D399" s="1">
        <f>Table4[[#This Row],[Quantity sold]]+5</f>
        <v>11</v>
      </c>
      <c r="E399" s="20">
        <v>6.1154999999999999</v>
      </c>
    </row>
    <row r="400" spans="1:5" x14ac:dyDescent="0.35">
      <c r="A400" s="6">
        <f t="shared" si="6"/>
        <v>1398</v>
      </c>
      <c r="B400" s="1" t="s">
        <v>1</v>
      </c>
      <c r="C400" s="20">
        <v>41.06</v>
      </c>
      <c r="D400" s="1">
        <f>Table4[[#This Row],[Quantity sold]]+5</f>
        <v>12</v>
      </c>
      <c r="E400" s="20">
        <v>12.318</v>
      </c>
    </row>
    <row r="401" spans="1:5" x14ac:dyDescent="0.35">
      <c r="A401" s="6">
        <f t="shared" si="6"/>
        <v>1399</v>
      </c>
      <c r="B401" s="1" t="s">
        <v>2</v>
      </c>
      <c r="C401" s="20">
        <v>19.239999999999998</v>
      </c>
      <c r="D401" s="1">
        <f>Table4[[#This Row],[Quantity sold]]+5</f>
        <v>13</v>
      </c>
      <c r="E401" s="20">
        <v>8.6579999999999995</v>
      </c>
    </row>
    <row r="402" spans="1:5" x14ac:dyDescent="0.35">
      <c r="A402" s="6">
        <f t="shared" si="6"/>
        <v>1400</v>
      </c>
      <c r="B402" s="1" t="s">
        <v>5</v>
      </c>
      <c r="C402" s="20">
        <v>39.43</v>
      </c>
      <c r="D402" s="1">
        <f>Table4[[#This Row],[Quantity sold]]+5</f>
        <v>15</v>
      </c>
      <c r="E402" s="20">
        <v>11.829000000000001</v>
      </c>
    </row>
    <row r="403" spans="1:5" x14ac:dyDescent="0.35">
      <c r="A403" s="6">
        <f t="shared" si="6"/>
        <v>1401</v>
      </c>
      <c r="B403" s="1" t="s">
        <v>3</v>
      </c>
      <c r="C403" s="20">
        <v>46.22</v>
      </c>
      <c r="D403" s="1">
        <f>Table4[[#This Row],[Quantity sold]]+5</f>
        <v>11</v>
      </c>
      <c r="E403" s="20">
        <v>9.2439999999999998</v>
      </c>
    </row>
    <row r="404" spans="1:5" x14ac:dyDescent="0.35">
      <c r="A404" s="6">
        <f t="shared" si="6"/>
        <v>1402</v>
      </c>
      <c r="B404" s="1" t="s">
        <v>3</v>
      </c>
      <c r="C404" s="20">
        <v>13.98</v>
      </c>
      <c r="D404" s="1">
        <f>Table4[[#This Row],[Quantity sold]]+5</f>
        <v>6</v>
      </c>
      <c r="E404" s="20">
        <v>0.69899999999999995</v>
      </c>
    </row>
    <row r="405" spans="1:5" x14ac:dyDescent="0.35">
      <c r="A405" s="6">
        <f t="shared" si="6"/>
        <v>1403</v>
      </c>
      <c r="B405" s="1" t="s">
        <v>6</v>
      </c>
      <c r="C405" s="20">
        <v>39.75</v>
      </c>
      <c r="D405" s="1">
        <f>Table4[[#This Row],[Quantity sold]]+5</f>
        <v>8</v>
      </c>
      <c r="E405" s="20">
        <v>9.9375</v>
      </c>
    </row>
    <row r="406" spans="1:5" x14ac:dyDescent="0.35">
      <c r="A406" s="6">
        <f t="shared" si="6"/>
        <v>1404</v>
      </c>
      <c r="B406" s="1" t="s">
        <v>6</v>
      </c>
      <c r="C406" s="20">
        <v>97.79</v>
      </c>
      <c r="D406" s="1">
        <f>Table4[[#This Row],[Quantity sold]]+5</f>
        <v>6</v>
      </c>
      <c r="E406" s="20">
        <v>34.226500000000001</v>
      </c>
    </row>
    <row r="407" spans="1:5" x14ac:dyDescent="0.35">
      <c r="A407" s="6">
        <f t="shared" si="6"/>
        <v>1405</v>
      </c>
      <c r="B407" s="1" t="s">
        <v>4</v>
      </c>
      <c r="C407" s="20">
        <v>67.260000000000005</v>
      </c>
      <c r="D407" s="1">
        <f>Table4[[#This Row],[Quantity sold]]+5</f>
        <v>15</v>
      </c>
      <c r="E407" s="20">
        <v>13.452</v>
      </c>
    </row>
    <row r="408" spans="1:5" x14ac:dyDescent="0.35">
      <c r="A408" s="6">
        <f t="shared" si="6"/>
        <v>1406</v>
      </c>
      <c r="B408" s="1" t="s">
        <v>5</v>
      </c>
      <c r="C408" s="20">
        <v>13.79</v>
      </c>
      <c r="D408" s="1">
        <f>Table4[[#This Row],[Quantity sold]]+5</f>
        <v>14</v>
      </c>
      <c r="E408" s="20">
        <v>3.4474999999999998</v>
      </c>
    </row>
    <row r="409" spans="1:5" x14ac:dyDescent="0.35">
      <c r="A409" s="6">
        <f t="shared" si="6"/>
        <v>1407</v>
      </c>
      <c r="B409" s="1" t="s">
        <v>6</v>
      </c>
      <c r="C409" s="20">
        <v>68.709999999999994</v>
      </c>
      <c r="D409" s="1">
        <f>Table4[[#This Row],[Quantity sold]]+5</f>
        <v>12</v>
      </c>
      <c r="E409" s="20">
        <v>13.742000000000001</v>
      </c>
    </row>
    <row r="410" spans="1:5" x14ac:dyDescent="0.35">
      <c r="A410" s="6">
        <f t="shared" si="6"/>
        <v>1408</v>
      </c>
      <c r="B410" s="1" t="s">
        <v>3</v>
      </c>
      <c r="C410" s="20">
        <v>56.53</v>
      </c>
      <c r="D410" s="1">
        <f>Table4[[#This Row],[Quantity sold]]+5</f>
        <v>11</v>
      </c>
      <c r="E410" s="20">
        <v>11.305999999999999</v>
      </c>
    </row>
    <row r="411" spans="1:5" x14ac:dyDescent="0.35">
      <c r="A411" s="6">
        <f t="shared" si="6"/>
        <v>1409</v>
      </c>
      <c r="B411" s="1" t="s">
        <v>6</v>
      </c>
      <c r="C411" s="20">
        <v>23.82</v>
      </c>
      <c r="D411" s="1">
        <f>Table4[[#This Row],[Quantity sold]]+5</f>
        <v>8</v>
      </c>
      <c r="E411" s="20">
        <v>5.9550000000000001</v>
      </c>
    </row>
    <row r="412" spans="1:5" x14ac:dyDescent="0.35">
      <c r="A412" s="6">
        <f t="shared" si="6"/>
        <v>1410</v>
      </c>
      <c r="B412" s="1" t="s">
        <v>1</v>
      </c>
      <c r="C412" s="20">
        <v>34.21</v>
      </c>
      <c r="D412" s="1">
        <f>Table4[[#This Row],[Quantity sold]]+5</f>
        <v>7</v>
      </c>
      <c r="E412" s="20">
        <v>17.105</v>
      </c>
    </row>
    <row r="413" spans="1:5" x14ac:dyDescent="0.35">
      <c r="A413" s="6">
        <f t="shared" si="6"/>
        <v>1411</v>
      </c>
      <c r="B413" s="1" t="s">
        <v>4</v>
      </c>
      <c r="C413" s="20">
        <v>21.87</v>
      </c>
      <c r="D413" s="1">
        <f>Table4[[#This Row],[Quantity sold]]+5</f>
        <v>7</v>
      </c>
      <c r="E413" s="20">
        <v>2.1869999999999998</v>
      </c>
    </row>
    <row r="414" spans="1:5" x14ac:dyDescent="0.35">
      <c r="A414" s="6">
        <f t="shared" si="6"/>
        <v>1412</v>
      </c>
      <c r="B414" s="1" t="s">
        <v>1</v>
      </c>
      <c r="C414" s="20">
        <v>20.97</v>
      </c>
      <c r="D414" s="1">
        <f>Table4[[#This Row],[Quantity sold]]+5</f>
        <v>12</v>
      </c>
      <c r="E414" s="20">
        <v>5.2424999999999997</v>
      </c>
    </row>
    <row r="415" spans="1:5" x14ac:dyDescent="0.35">
      <c r="A415" s="6">
        <f t="shared" si="6"/>
        <v>1413</v>
      </c>
      <c r="B415" s="1" t="s">
        <v>4</v>
      </c>
      <c r="C415" s="20">
        <v>25.84</v>
      </c>
      <c r="D415" s="1">
        <f>Table4[[#This Row],[Quantity sold]]+5</f>
        <v>8</v>
      </c>
      <c r="E415" s="20">
        <v>3.8759999999999999</v>
      </c>
    </row>
    <row r="416" spans="1:5" x14ac:dyDescent="0.35">
      <c r="A416" s="6">
        <f t="shared" si="6"/>
        <v>1414</v>
      </c>
      <c r="B416" s="1" t="s">
        <v>3</v>
      </c>
      <c r="C416" s="20">
        <v>50.93</v>
      </c>
      <c r="D416" s="1">
        <f>Table4[[#This Row],[Quantity sold]]+5</f>
        <v>10</v>
      </c>
      <c r="E416" s="20">
        <v>20.372</v>
      </c>
    </row>
    <row r="417" spans="1:5" x14ac:dyDescent="0.35">
      <c r="A417" s="6">
        <f t="shared" si="6"/>
        <v>1415</v>
      </c>
      <c r="B417" s="1" t="s">
        <v>1</v>
      </c>
      <c r="C417" s="20">
        <v>96.11</v>
      </c>
      <c r="D417" s="1">
        <f>Table4[[#This Row],[Quantity sold]]+5</f>
        <v>6</v>
      </c>
      <c r="E417" s="20">
        <v>4.8055000000000003</v>
      </c>
    </row>
    <row r="418" spans="1:5" x14ac:dyDescent="0.35">
      <c r="A418" s="6">
        <f t="shared" si="6"/>
        <v>1416</v>
      </c>
      <c r="B418" s="1" t="s">
        <v>3</v>
      </c>
      <c r="C418" s="20">
        <v>45.38</v>
      </c>
      <c r="D418" s="1">
        <f>Table4[[#This Row],[Quantity sold]]+5</f>
        <v>8</v>
      </c>
      <c r="E418" s="20">
        <v>9.0760000000000005</v>
      </c>
    </row>
    <row r="419" spans="1:5" x14ac:dyDescent="0.35">
      <c r="A419" s="6">
        <f t="shared" si="6"/>
        <v>1417</v>
      </c>
      <c r="B419" s="1" t="s">
        <v>1</v>
      </c>
      <c r="C419" s="20">
        <v>81.510000000000005</v>
      </c>
      <c r="D419" s="1">
        <f>Table4[[#This Row],[Quantity sold]]+5</f>
        <v>13</v>
      </c>
      <c r="E419" s="20">
        <v>4.0754999999999999</v>
      </c>
    </row>
    <row r="420" spans="1:5" x14ac:dyDescent="0.35">
      <c r="A420" s="6">
        <f t="shared" si="6"/>
        <v>1418</v>
      </c>
      <c r="B420" s="1" t="s">
        <v>1</v>
      </c>
      <c r="C420" s="20">
        <v>57.22</v>
      </c>
      <c r="D420" s="1">
        <f>Table4[[#This Row],[Quantity sold]]+5</f>
        <v>8</v>
      </c>
      <c r="E420" s="20">
        <v>5.7220000000000004</v>
      </c>
    </row>
    <row r="421" spans="1:5" x14ac:dyDescent="0.35">
      <c r="A421" s="6">
        <f t="shared" si="6"/>
        <v>1419</v>
      </c>
      <c r="B421" s="1" t="s">
        <v>2</v>
      </c>
      <c r="C421" s="20">
        <v>25.22</v>
      </c>
      <c r="D421" s="1">
        <f>Table4[[#This Row],[Quantity sold]]+5</f>
        <v>14</v>
      </c>
      <c r="E421" s="20">
        <v>8.827</v>
      </c>
    </row>
    <row r="422" spans="1:5" x14ac:dyDescent="0.35">
      <c r="A422" s="6">
        <f t="shared" si="6"/>
        <v>1420</v>
      </c>
      <c r="B422" s="1" t="s">
        <v>5</v>
      </c>
      <c r="C422" s="20">
        <v>38.6</v>
      </c>
      <c r="D422" s="1">
        <f>Table4[[#This Row],[Quantity sold]]+5</f>
        <v>11</v>
      </c>
      <c r="E422" s="20">
        <v>5.79</v>
      </c>
    </row>
    <row r="423" spans="1:5" x14ac:dyDescent="0.35">
      <c r="A423" s="6">
        <f t="shared" si="6"/>
        <v>1421</v>
      </c>
      <c r="B423" s="1" t="s">
        <v>2</v>
      </c>
      <c r="C423" s="20">
        <v>84.05</v>
      </c>
      <c r="D423" s="1">
        <f>Table4[[#This Row],[Quantity sold]]+5</f>
        <v>7</v>
      </c>
      <c r="E423" s="20">
        <v>12.6075</v>
      </c>
    </row>
    <row r="424" spans="1:5" x14ac:dyDescent="0.35">
      <c r="A424" s="6">
        <f t="shared" si="6"/>
        <v>1422</v>
      </c>
      <c r="B424" s="1" t="s">
        <v>6</v>
      </c>
      <c r="C424" s="20">
        <v>97.21</v>
      </c>
      <c r="D424" s="1">
        <f>Table4[[#This Row],[Quantity sold]]+5</f>
        <v>9</v>
      </c>
      <c r="E424" s="20">
        <v>48.604999999999997</v>
      </c>
    </row>
    <row r="425" spans="1:5" x14ac:dyDescent="0.35">
      <c r="A425" s="6">
        <f t="shared" si="6"/>
        <v>1423</v>
      </c>
      <c r="B425" s="1" t="s">
        <v>6</v>
      </c>
      <c r="C425" s="20">
        <v>25.42</v>
      </c>
      <c r="D425" s="1">
        <f>Table4[[#This Row],[Quantity sold]]+5</f>
        <v>9</v>
      </c>
      <c r="E425" s="20">
        <v>10.167999999999999</v>
      </c>
    </row>
    <row r="426" spans="1:5" x14ac:dyDescent="0.35">
      <c r="A426" s="6">
        <f t="shared" si="6"/>
        <v>1424</v>
      </c>
      <c r="B426" s="1" t="s">
        <v>6</v>
      </c>
      <c r="C426" s="20">
        <v>16.28</v>
      </c>
      <c r="D426" s="1">
        <f>Table4[[#This Row],[Quantity sold]]+5</f>
        <v>14</v>
      </c>
      <c r="E426" s="20">
        <v>0.81399999999999995</v>
      </c>
    </row>
    <row r="427" spans="1:5" x14ac:dyDescent="0.35">
      <c r="A427" s="6">
        <f t="shared" si="6"/>
        <v>1425</v>
      </c>
      <c r="B427" s="1" t="s">
        <v>6</v>
      </c>
      <c r="C427" s="20">
        <v>40.61</v>
      </c>
      <c r="D427" s="1">
        <f>Table4[[#This Row],[Quantity sold]]+5</f>
        <v>12</v>
      </c>
      <c r="E427" s="20">
        <v>18.2745</v>
      </c>
    </row>
    <row r="428" spans="1:5" x14ac:dyDescent="0.35">
      <c r="A428" s="6">
        <f t="shared" si="6"/>
        <v>1426</v>
      </c>
      <c r="B428" s="1" t="s">
        <v>1</v>
      </c>
      <c r="C428" s="20">
        <v>53.17</v>
      </c>
      <c r="D428" s="1">
        <f>Table4[[#This Row],[Quantity sold]]+5</f>
        <v>10</v>
      </c>
      <c r="E428" s="20">
        <v>18.609500000000001</v>
      </c>
    </row>
    <row r="429" spans="1:5" x14ac:dyDescent="0.35">
      <c r="A429" s="6">
        <f t="shared" si="6"/>
        <v>1427</v>
      </c>
      <c r="B429" s="1" t="s">
        <v>5</v>
      </c>
      <c r="C429" s="20">
        <v>20.87</v>
      </c>
      <c r="D429" s="1">
        <f>Table4[[#This Row],[Quantity sold]]+5</f>
        <v>13</v>
      </c>
      <c r="E429" s="20">
        <v>3.1305000000000001</v>
      </c>
    </row>
    <row r="430" spans="1:5" x14ac:dyDescent="0.35">
      <c r="A430" s="6">
        <f t="shared" si="6"/>
        <v>1428</v>
      </c>
      <c r="B430" s="1" t="s">
        <v>4</v>
      </c>
      <c r="C430" s="20">
        <v>67.27</v>
      </c>
      <c r="D430" s="1">
        <f>Table4[[#This Row],[Quantity sold]]+5</f>
        <v>14</v>
      </c>
      <c r="E430" s="20">
        <v>16.817499999999999</v>
      </c>
    </row>
    <row r="431" spans="1:5" x14ac:dyDescent="0.35">
      <c r="A431" s="6">
        <f t="shared" si="6"/>
        <v>1429</v>
      </c>
      <c r="B431" s="1" t="s">
        <v>3</v>
      </c>
      <c r="C431" s="20">
        <v>90.65</v>
      </c>
      <c r="D431" s="1">
        <f>Table4[[#This Row],[Quantity sold]]+5</f>
        <v>7</v>
      </c>
      <c r="E431" s="20">
        <v>45.325000000000003</v>
      </c>
    </row>
    <row r="432" spans="1:5" x14ac:dyDescent="0.35">
      <c r="A432" s="6">
        <f t="shared" si="6"/>
        <v>1430</v>
      </c>
      <c r="B432" s="1" t="s">
        <v>6</v>
      </c>
      <c r="C432" s="20">
        <v>69.08</v>
      </c>
      <c r="D432" s="1">
        <f>Table4[[#This Row],[Quantity sold]]+5</f>
        <v>13</v>
      </c>
      <c r="E432" s="20">
        <v>6.9080000000000004</v>
      </c>
    </row>
    <row r="433" spans="1:5" x14ac:dyDescent="0.35">
      <c r="A433" s="6">
        <f t="shared" si="6"/>
        <v>1431</v>
      </c>
      <c r="B433" s="1" t="s">
        <v>5</v>
      </c>
      <c r="C433" s="20">
        <v>43.27</v>
      </c>
      <c r="D433" s="1">
        <f>Table4[[#This Row],[Quantity sold]]+5</f>
        <v>11</v>
      </c>
      <c r="E433" s="20">
        <v>4.327</v>
      </c>
    </row>
    <row r="434" spans="1:5" x14ac:dyDescent="0.35">
      <c r="A434" s="6">
        <f t="shared" si="6"/>
        <v>1432</v>
      </c>
      <c r="B434" s="1" t="s">
        <v>2</v>
      </c>
      <c r="C434" s="20">
        <v>23.46</v>
      </c>
      <c r="D434" s="1">
        <f>Table4[[#This Row],[Quantity sold]]+5</f>
        <v>10</v>
      </c>
      <c r="E434" s="20">
        <v>7.0380000000000003</v>
      </c>
    </row>
    <row r="435" spans="1:5" x14ac:dyDescent="0.35">
      <c r="A435" s="6">
        <f t="shared" si="6"/>
        <v>1433</v>
      </c>
      <c r="B435" s="1" t="s">
        <v>6</v>
      </c>
      <c r="C435" s="20">
        <v>95.54</v>
      </c>
      <c r="D435" s="1">
        <f>Table4[[#This Row],[Quantity sold]]+5</f>
        <v>10</v>
      </c>
      <c r="E435" s="20">
        <v>33.439</v>
      </c>
    </row>
    <row r="436" spans="1:5" x14ac:dyDescent="0.35">
      <c r="A436" s="6">
        <f t="shared" si="6"/>
        <v>1434</v>
      </c>
      <c r="B436" s="1" t="s">
        <v>6</v>
      </c>
      <c r="C436" s="20">
        <v>47.44</v>
      </c>
      <c r="D436" s="1">
        <f>Table4[[#This Row],[Quantity sold]]+5</f>
        <v>11</v>
      </c>
      <c r="E436" s="20">
        <v>2.3719999999999999</v>
      </c>
    </row>
    <row r="437" spans="1:5" x14ac:dyDescent="0.35">
      <c r="A437" s="6">
        <f t="shared" si="6"/>
        <v>1435</v>
      </c>
      <c r="B437" s="1" t="s">
        <v>4</v>
      </c>
      <c r="C437" s="20">
        <v>99.24</v>
      </c>
      <c r="D437" s="1">
        <f>Table4[[#This Row],[Quantity sold]]+5</f>
        <v>10</v>
      </c>
      <c r="E437" s="20">
        <v>44.658000000000001</v>
      </c>
    </row>
    <row r="438" spans="1:5" x14ac:dyDescent="0.35">
      <c r="A438" s="6">
        <f t="shared" si="6"/>
        <v>1436</v>
      </c>
      <c r="B438" s="1" t="s">
        <v>4</v>
      </c>
      <c r="C438" s="20">
        <v>82.93</v>
      </c>
      <c r="D438" s="1">
        <f>Table4[[#This Row],[Quantity sold]]+5</f>
        <v>9</v>
      </c>
      <c r="E438" s="20">
        <v>16.585999999999999</v>
      </c>
    </row>
    <row r="439" spans="1:5" x14ac:dyDescent="0.35">
      <c r="A439" s="6">
        <f t="shared" si="6"/>
        <v>1437</v>
      </c>
      <c r="B439" s="1" t="s">
        <v>3</v>
      </c>
      <c r="C439" s="20">
        <v>33.99</v>
      </c>
      <c r="D439" s="1">
        <f>Table4[[#This Row],[Quantity sold]]+5</f>
        <v>6</v>
      </c>
      <c r="E439" s="20">
        <v>10.196999999999999</v>
      </c>
    </row>
    <row r="440" spans="1:5" x14ac:dyDescent="0.35">
      <c r="A440" s="6">
        <f t="shared" si="6"/>
        <v>1438</v>
      </c>
      <c r="B440" s="1" t="s">
        <v>5</v>
      </c>
      <c r="C440" s="20">
        <v>17.04</v>
      </c>
      <c r="D440" s="1">
        <f>Table4[[#This Row],[Quantity sold]]+5</f>
        <v>14</v>
      </c>
      <c r="E440" s="20">
        <v>3.4079999999999999</v>
      </c>
    </row>
    <row r="441" spans="1:5" x14ac:dyDescent="0.35">
      <c r="A441" s="6">
        <f t="shared" si="6"/>
        <v>1439</v>
      </c>
      <c r="B441" s="1" t="s">
        <v>2</v>
      </c>
      <c r="C441" s="20">
        <v>40.86</v>
      </c>
      <c r="D441" s="1">
        <f>Table4[[#This Row],[Quantity sold]]+5</f>
        <v>6</v>
      </c>
      <c r="E441" s="20">
        <v>16.344000000000001</v>
      </c>
    </row>
    <row r="442" spans="1:5" x14ac:dyDescent="0.35">
      <c r="A442" s="6">
        <f t="shared" si="6"/>
        <v>1440</v>
      </c>
      <c r="B442" s="1" t="s">
        <v>5</v>
      </c>
      <c r="C442" s="20">
        <v>17.440000000000001</v>
      </c>
      <c r="D442" s="1">
        <f>Table4[[#This Row],[Quantity sold]]+5</f>
        <v>15</v>
      </c>
      <c r="E442" s="20">
        <v>4.3600000000000003</v>
      </c>
    </row>
    <row r="443" spans="1:5" x14ac:dyDescent="0.35">
      <c r="A443" s="6">
        <f t="shared" si="6"/>
        <v>1441</v>
      </c>
      <c r="B443" s="1" t="s">
        <v>4</v>
      </c>
      <c r="C443" s="20">
        <v>88.43</v>
      </c>
      <c r="D443" s="1">
        <f>Table4[[#This Row],[Quantity sold]]+5</f>
        <v>6</v>
      </c>
      <c r="E443" s="20">
        <v>35.372</v>
      </c>
    </row>
    <row r="444" spans="1:5" x14ac:dyDescent="0.35">
      <c r="A444" s="6">
        <f t="shared" si="6"/>
        <v>1442</v>
      </c>
      <c r="B444" s="1" t="s">
        <v>3</v>
      </c>
      <c r="C444" s="20">
        <v>89.21</v>
      </c>
      <c r="D444" s="1">
        <f>Table4[[#This Row],[Quantity sold]]+5</f>
        <v>6</v>
      </c>
      <c r="E444" s="20">
        <v>40.144500000000001</v>
      </c>
    </row>
    <row r="445" spans="1:5" x14ac:dyDescent="0.35">
      <c r="A445" s="6">
        <f t="shared" si="6"/>
        <v>1443</v>
      </c>
      <c r="B445" s="1" t="s">
        <v>6</v>
      </c>
      <c r="C445" s="20">
        <v>12.78</v>
      </c>
      <c r="D445" s="1">
        <f>Table4[[#This Row],[Quantity sold]]+5</f>
        <v>14</v>
      </c>
      <c r="E445" s="20">
        <v>0.63900000000000001</v>
      </c>
    </row>
    <row r="446" spans="1:5" x14ac:dyDescent="0.35">
      <c r="A446" s="6">
        <f t="shared" si="6"/>
        <v>1444</v>
      </c>
      <c r="B446" s="1" t="s">
        <v>4</v>
      </c>
      <c r="C446" s="20">
        <v>19.100000000000001</v>
      </c>
      <c r="D446" s="1">
        <f>Table4[[#This Row],[Quantity sold]]+5</f>
        <v>7</v>
      </c>
      <c r="E446" s="20">
        <v>6.6849999999999996</v>
      </c>
    </row>
    <row r="447" spans="1:5" x14ac:dyDescent="0.35">
      <c r="A447" s="6">
        <f t="shared" si="6"/>
        <v>1445</v>
      </c>
      <c r="B447" s="1" t="s">
        <v>1</v>
      </c>
      <c r="C447" s="20">
        <v>19.149999999999999</v>
      </c>
      <c r="D447" s="1">
        <f>Table4[[#This Row],[Quantity sold]]+5</f>
        <v>6</v>
      </c>
      <c r="E447" s="20">
        <v>0.95750000000000002</v>
      </c>
    </row>
    <row r="448" spans="1:5" x14ac:dyDescent="0.35">
      <c r="A448" s="6">
        <f t="shared" si="6"/>
        <v>1446</v>
      </c>
      <c r="B448" s="1" t="s">
        <v>5</v>
      </c>
      <c r="C448" s="20">
        <v>27.66</v>
      </c>
      <c r="D448" s="1">
        <f>Table4[[#This Row],[Quantity sold]]+5</f>
        <v>15</v>
      </c>
      <c r="E448" s="20">
        <v>13.83</v>
      </c>
    </row>
    <row r="449" spans="1:5" x14ac:dyDescent="0.35">
      <c r="A449" s="6">
        <f t="shared" si="6"/>
        <v>1447</v>
      </c>
      <c r="B449" s="1" t="s">
        <v>6</v>
      </c>
      <c r="C449" s="20">
        <v>45.74</v>
      </c>
      <c r="D449" s="1">
        <f>Table4[[#This Row],[Quantity sold]]+5</f>
        <v>7</v>
      </c>
      <c r="E449" s="20">
        <v>6.8609999999999998</v>
      </c>
    </row>
    <row r="450" spans="1:5" x14ac:dyDescent="0.35">
      <c r="A450" s="6">
        <f t="shared" si="6"/>
        <v>1448</v>
      </c>
      <c r="B450" s="1" t="s">
        <v>1</v>
      </c>
      <c r="C450" s="20">
        <v>27.07</v>
      </c>
      <c r="D450" s="1">
        <f>Table4[[#This Row],[Quantity sold]]+5</f>
        <v>8</v>
      </c>
      <c r="E450" s="20">
        <v>1.3534999999999999</v>
      </c>
    </row>
    <row r="451" spans="1:5" x14ac:dyDescent="0.35">
      <c r="A451" s="6">
        <f t="shared" si="6"/>
        <v>1449</v>
      </c>
      <c r="B451" s="1" t="s">
        <v>4</v>
      </c>
      <c r="C451" s="20">
        <v>39.119999999999997</v>
      </c>
      <c r="D451" s="1">
        <f>Table4[[#This Row],[Quantity sold]]+5</f>
        <v>15</v>
      </c>
      <c r="E451" s="20">
        <v>1.956</v>
      </c>
    </row>
    <row r="452" spans="1:5" x14ac:dyDescent="0.35">
      <c r="A452" s="6">
        <f t="shared" si="6"/>
        <v>1450</v>
      </c>
      <c r="B452" s="1" t="s">
        <v>2</v>
      </c>
      <c r="C452" s="20">
        <v>74.709999999999994</v>
      </c>
      <c r="D452" s="1">
        <f>Table4[[#This Row],[Quantity sold]]+5</f>
        <v>15</v>
      </c>
      <c r="E452" s="20">
        <v>22.413</v>
      </c>
    </row>
    <row r="453" spans="1:5" x14ac:dyDescent="0.35">
      <c r="A453" s="6">
        <f t="shared" ref="A453:A516" si="7">A452+1</f>
        <v>1451</v>
      </c>
      <c r="B453" s="1" t="s">
        <v>2</v>
      </c>
      <c r="C453" s="20">
        <v>22.01</v>
      </c>
      <c r="D453" s="1">
        <f>Table4[[#This Row],[Quantity sold]]+5</f>
        <v>12</v>
      </c>
      <c r="E453" s="20">
        <v>6.6029999999999998</v>
      </c>
    </row>
    <row r="454" spans="1:5" x14ac:dyDescent="0.35">
      <c r="A454" s="6">
        <f t="shared" si="7"/>
        <v>1452</v>
      </c>
      <c r="B454" s="1" t="s">
        <v>5</v>
      </c>
      <c r="C454" s="20">
        <v>63.61</v>
      </c>
      <c r="D454" s="1">
        <f>Table4[[#This Row],[Quantity sold]]+5</f>
        <v>8</v>
      </c>
      <c r="E454" s="20">
        <v>15.9025</v>
      </c>
    </row>
    <row r="455" spans="1:5" x14ac:dyDescent="0.35">
      <c r="A455" s="6">
        <f t="shared" si="7"/>
        <v>1453</v>
      </c>
      <c r="B455" s="1" t="s">
        <v>1</v>
      </c>
      <c r="C455" s="20">
        <v>25</v>
      </c>
      <c r="D455" s="1">
        <f>Table4[[#This Row],[Quantity sold]]+5</f>
        <v>12</v>
      </c>
      <c r="E455" s="20">
        <v>1.25</v>
      </c>
    </row>
    <row r="456" spans="1:5" x14ac:dyDescent="0.35">
      <c r="A456" s="6">
        <f t="shared" si="7"/>
        <v>1454</v>
      </c>
      <c r="B456" s="1" t="s">
        <v>2</v>
      </c>
      <c r="C456" s="20">
        <v>20.77</v>
      </c>
      <c r="D456" s="1">
        <f>Table4[[#This Row],[Quantity sold]]+5</f>
        <v>6</v>
      </c>
      <c r="E456" s="20">
        <v>4.1539999999999999</v>
      </c>
    </row>
    <row r="457" spans="1:5" x14ac:dyDescent="0.35">
      <c r="A457" s="6">
        <f t="shared" si="7"/>
        <v>1455</v>
      </c>
      <c r="B457" s="1" t="s">
        <v>6</v>
      </c>
      <c r="C457" s="20">
        <v>29.56</v>
      </c>
      <c r="D457" s="1">
        <f>Table4[[#This Row],[Quantity sold]]+5</f>
        <v>6</v>
      </c>
      <c r="E457" s="20">
        <v>7.39</v>
      </c>
    </row>
    <row r="458" spans="1:5" x14ac:dyDescent="0.35">
      <c r="A458" s="6">
        <f t="shared" si="7"/>
        <v>1456</v>
      </c>
      <c r="B458" s="1" t="s">
        <v>5</v>
      </c>
      <c r="C458" s="20">
        <v>77.400000000000006</v>
      </c>
      <c r="D458" s="1">
        <f>Table4[[#This Row],[Quantity sold]]+5</f>
        <v>6</v>
      </c>
      <c r="E458" s="20">
        <v>34.83</v>
      </c>
    </row>
    <row r="459" spans="1:5" x14ac:dyDescent="0.35">
      <c r="A459" s="6">
        <f t="shared" si="7"/>
        <v>1457</v>
      </c>
      <c r="B459" s="1" t="s">
        <v>2</v>
      </c>
      <c r="C459" s="20">
        <v>79.39</v>
      </c>
      <c r="D459" s="1">
        <f>Table4[[#This Row],[Quantity sold]]+5</f>
        <v>13</v>
      </c>
      <c r="E459" s="20">
        <v>39.695</v>
      </c>
    </row>
    <row r="460" spans="1:5" x14ac:dyDescent="0.35">
      <c r="A460" s="6">
        <f t="shared" si="7"/>
        <v>1458</v>
      </c>
      <c r="B460" s="1" t="s">
        <v>2</v>
      </c>
      <c r="C460" s="20">
        <v>46.57</v>
      </c>
      <c r="D460" s="1">
        <f>Table4[[#This Row],[Quantity sold]]+5</f>
        <v>12</v>
      </c>
      <c r="E460" s="20">
        <v>23.285</v>
      </c>
    </row>
    <row r="461" spans="1:5" x14ac:dyDescent="0.35">
      <c r="A461" s="6">
        <f t="shared" si="7"/>
        <v>1459</v>
      </c>
      <c r="B461" s="1" t="s">
        <v>5</v>
      </c>
      <c r="C461" s="20">
        <v>35.89</v>
      </c>
      <c r="D461" s="1">
        <f>Table4[[#This Row],[Quantity sold]]+5</f>
        <v>9</v>
      </c>
      <c r="E461" s="20">
        <v>1.7945</v>
      </c>
    </row>
    <row r="462" spans="1:5" x14ac:dyDescent="0.35">
      <c r="A462" s="6">
        <f t="shared" si="7"/>
        <v>1460</v>
      </c>
      <c r="B462" s="1" t="s">
        <v>5</v>
      </c>
      <c r="C462" s="20">
        <v>40.520000000000003</v>
      </c>
      <c r="D462" s="1">
        <f>Table4[[#This Row],[Quantity sold]]+5</f>
        <v>12</v>
      </c>
      <c r="E462" s="20">
        <v>10.130000000000001</v>
      </c>
    </row>
    <row r="463" spans="1:5" x14ac:dyDescent="0.35">
      <c r="A463" s="6">
        <f t="shared" si="7"/>
        <v>1461</v>
      </c>
      <c r="B463" s="1" t="s">
        <v>5</v>
      </c>
      <c r="C463" s="20">
        <v>73.05</v>
      </c>
      <c r="D463" s="1">
        <f>Table4[[#This Row],[Quantity sold]]+5</f>
        <v>7</v>
      </c>
      <c r="E463" s="20">
        <v>36.524999999999999</v>
      </c>
    </row>
    <row r="464" spans="1:5" x14ac:dyDescent="0.35">
      <c r="A464" s="6">
        <f t="shared" si="7"/>
        <v>1462</v>
      </c>
      <c r="B464" s="1" t="s">
        <v>4</v>
      </c>
      <c r="C464" s="20">
        <v>73.95</v>
      </c>
      <c r="D464" s="1">
        <f>Table4[[#This Row],[Quantity sold]]+5</f>
        <v>13</v>
      </c>
      <c r="E464" s="20">
        <v>14.79</v>
      </c>
    </row>
    <row r="465" spans="1:5" x14ac:dyDescent="0.35">
      <c r="A465" s="6">
        <f t="shared" si="7"/>
        <v>1463</v>
      </c>
      <c r="B465" s="1" t="s">
        <v>5</v>
      </c>
      <c r="C465" s="20">
        <v>22.62</v>
      </c>
      <c r="D465" s="1">
        <f>Table4[[#This Row],[Quantity sold]]+5</f>
        <v>7</v>
      </c>
      <c r="E465" s="20">
        <v>1.131</v>
      </c>
    </row>
    <row r="466" spans="1:5" x14ac:dyDescent="0.35">
      <c r="A466" s="6">
        <f t="shared" si="7"/>
        <v>1464</v>
      </c>
      <c r="B466" s="1" t="s">
        <v>5</v>
      </c>
      <c r="C466" s="20">
        <v>51.34</v>
      </c>
      <c r="D466" s="1">
        <f>Table4[[#This Row],[Quantity sold]]+5</f>
        <v>10</v>
      </c>
      <c r="E466" s="20">
        <v>12.835000000000001</v>
      </c>
    </row>
    <row r="467" spans="1:5" x14ac:dyDescent="0.35">
      <c r="A467" s="6">
        <f t="shared" si="7"/>
        <v>1465</v>
      </c>
      <c r="B467" s="1" t="s">
        <v>4</v>
      </c>
      <c r="C467" s="20">
        <v>54.55</v>
      </c>
      <c r="D467" s="1">
        <f>Table4[[#This Row],[Quantity sold]]+5</f>
        <v>11</v>
      </c>
      <c r="E467" s="20">
        <v>27.274999999999999</v>
      </c>
    </row>
    <row r="468" spans="1:5" x14ac:dyDescent="0.35">
      <c r="A468" s="6">
        <f t="shared" si="7"/>
        <v>1466</v>
      </c>
      <c r="B468" s="1" t="s">
        <v>1</v>
      </c>
      <c r="C468" s="20">
        <v>37.15</v>
      </c>
      <c r="D468" s="1">
        <f>Table4[[#This Row],[Quantity sold]]+5</f>
        <v>6</v>
      </c>
      <c r="E468" s="20">
        <v>13.0025</v>
      </c>
    </row>
    <row r="469" spans="1:5" x14ac:dyDescent="0.35">
      <c r="A469" s="6">
        <f t="shared" si="7"/>
        <v>1467</v>
      </c>
      <c r="B469" s="1" t="s">
        <v>4</v>
      </c>
      <c r="C469" s="20">
        <v>37.020000000000003</v>
      </c>
      <c r="D469" s="1">
        <f>Table4[[#This Row],[Quantity sold]]+5</f>
        <v>10</v>
      </c>
      <c r="E469" s="20">
        <v>11.106</v>
      </c>
    </row>
    <row r="470" spans="1:5" x14ac:dyDescent="0.35">
      <c r="A470" s="6">
        <f t="shared" si="7"/>
        <v>1468</v>
      </c>
      <c r="B470" s="1" t="s">
        <v>5</v>
      </c>
      <c r="C470" s="20">
        <v>21.58</v>
      </c>
      <c r="D470" s="1">
        <f>Table4[[#This Row],[Quantity sold]]+5</f>
        <v>6</v>
      </c>
      <c r="E470" s="20">
        <v>1.079</v>
      </c>
    </row>
    <row r="471" spans="1:5" x14ac:dyDescent="0.35">
      <c r="A471" s="6">
        <f t="shared" si="7"/>
        <v>1469</v>
      </c>
      <c r="B471" s="1" t="s">
        <v>2</v>
      </c>
      <c r="C471" s="20">
        <v>98.84</v>
      </c>
      <c r="D471" s="1">
        <f>Table4[[#This Row],[Quantity sold]]+5</f>
        <v>7</v>
      </c>
      <c r="E471" s="20">
        <v>4.9420000000000002</v>
      </c>
    </row>
    <row r="472" spans="1:5" x14ac:dyDescent="0.35">
      <c r="A472" s="6">
        <f t="shared" si="7"/>
        <v>1470</v>
      </c>
      <c r="B472" s="1" t="s">
        <v>3</v>
      </c>
      <c r="C472" s="20">
        <v>83.77</v>
      </c>
      <c r="D472" s="1">
        <f>Table4[[#This Row],[Quantity sold]]+5</f>
        <v>14</v>
      </c>
      <c r="E472" s="20">
        <v>25.131</v>
      </c>
    </row>
    <row r="473" spans="1:5" x14ac:dyDescent="0.35">
      <c r="A473" s="6">
        <f t="shared" si="7"/>
        <v>1471</v>
      </c>
      <c r="B473" s="1" t="s">
        <v>4</v>
      </c>
      <c r="C473" s="20">
        <v>40.049999999999997</v>
      </c>
      <c r="D473" s="1">
        <f>Table4[[#This Row],[Quantity sold]]+5</f>
        <v>14</v>
      </c>
      <c r="E473" s="20">
        <v>8.01</v>
      </c>
    </row>
    <row r="474" spans="1:5" x14ac:dyDescent="0.35">
      <c r="A474" s="6">
        <f t="shared" si="7"/>
        <v>1472</v>
      </c>
      <c r="B474" s="1" t="s">
        <v>6</v>
      </c>
      <c r="C474" s="20">
        <v>43.13</v>
      </c>
      <c r="D474" s="1">
        <f>Table4[[#This Row],[Quantity sold]]+5</f>
        <v>6</v>
      </c>
      <c r="E474" s="20">
        <v>21.565000000000001</v>
      </c>
    </row>
    <row r="475" spans="1:5" x14ac:dyDescent="0.35">
      <c r="A475" s="6">
        <f t="shared" si="7"/>
        <v>1473</v>
      </c>
      <c r="B475" s="1" t="s">
        <v>1</v>
      </c>
      <c r="C475" s="20">
        <v>72.569999999999993</v>
      </c>
      <c r="D475" s="1">
        <f>Table4[[#This Row],[Quantity sold]]+5</f>
        <v>12</v>
      </c>
      <c r="E475" s="20">
        <v>29.027999999999999</v>
      </c>
    </row>
    <row r="476" spans="1:5" x14ac:dyDescent="0.35">
      <c r="A476" s="6">
        <f t="shared" si="7"/>
        <v>1474</v>
      </c>
      <c r="B476" s="1" t="s">
        <v>2</v>
      </c>
      <c r="C476" s="20">
        <v>64.44</v>
      </c>
      <c r="D476" s="1">
        <f>Table4[[#This Row],[Quantity sold]]+5</f>
        <v>6</v>
      </c>
      <c r="E476" s="20">
        <v>16.11</v>
      </c>
    </row>
    <row r="477" spans="1:5" x14ac:dyDescent="0.35">
      <c r="A477" s="6">
        <f t="shared" si="7"/>
        <v>1475</v>
      </c>
      <c r="B477" s="1" t="s">
        <v>1</v>
      </c>
      <c r="C477" s="20">
        <v>65.180000000000007</v>
      </c>
      <c r="D477" s="1">
        <f>Table4[[#This Row],[Quantity sold]]+5</f>
        <v>7</v>
      </c>
      <c r="E477" s="20">
        <v>9.7769999999999992</v>
      </c>
    </row>
    <row r="478" spans="1:5" x14ac:dyDescent="0.35">
      <c r="A478" s="6">
        <f t="shared" si="7"/>
        <v>1476</v>
      </c>
      <c r="B478" s="1" t="s">
        <v>4</v>
      </c>
      <c r="C478" s="20">
        <v>33.26</v>
      </c>
      <c r="D478" s="1">
        <f>Table4[[#This Row],[Quantity sold]]+5</f>
        <v>12</v>
      </c>
      <c r="E478" s="20">
        <v>8.3149999999999995</v>
      </c>
    </row>
    <row r="479" spans="1:5" x14ac:dyDescent="0.35">
      <c r="A479" s="6">
        <f t="shared" si="7"/>
        <v>1477</v>
      </c>
      <c r="B479" s="1" t="s">
        <v>2</v>
      </c>
      <c r="C479" s="20">
        <v>84.07</v>
      </c>
      <c r="D479" s="1">
        <f>Table4[[#This Row],[Quantity sold]]+5</f>
        <v>14</v>
      </c>
      <c r="E479" s="20">
        <v>16.814</v>
      </c>
    </row>
    <row r="480" spans="1:5" x14ac:dyDescent="0.35">
      <c r="A480" s="6">
        <f t="shared" si="7"/>
        <v>1478</v>
      </c>
      <c r="B480" s="1" t="s">
        <v>4</v>
      </c>
      <c r="C480" s="20">
        <v>34.369999999999997</v>
      </c>
      <c r="D480" s="1">
        <f>Table4[[#This Row],[Quantity sold]]+5</f>
        <v>11</v>
      </c>
      <c r="E480" s="20">
        <v>17.184999999999999</v>
      </c>
    </row>
    <row r="481" spans="1:5" x14ac:dyDescent="0.35">
      <c r="A481" s="6">
        <f t="shared" si="7"/>
        <v>1479</v>
      </c>
      <c r="B481" s="1" t="s">
        <v>2</v>
      </c>
      <c r="C481" s="20">
        <v>38.6</v>
      </c>
      <c r="D481" s="1">
        <f>Table4[[#This Row],[Quantity sold]]+5</f>
        <v>9</v>
      </c>
      <c r="E481" s="20">
        <v>1.93</v>
      </c>
    </row>
    <row r="482" spans="1:5" x14ac:dyDescent="0.35">
      <c r="A482" s="6">
        <f t="shared" si="7"/>
        <v>1480</v>
      </c>
      <c r="B482" s="1" t="s">
        <v>5</v>
      </c>
      <c r="C482" s="20">
        <v>65.97</v>
      </c>
      <c r="D482" s="1">
        <f>Table4[[#This Row],[Quantity sold]]+5</f>
        <v>7</v>
      </c>
      <c r="E482" s="20">
        <v>26.388000000000002</v>
      </c>
    </row>
    <row r="483" spans="1:5" x14ac:dyDescent="0.35">
      <c r="A483" s="6">
        <f t="shared" si="7"/>
        <v>1481</v>
      </c>
      <c r="B483" s="1" t="s">
        <v>2</v>
      </c>
      <c r="C483" s="20">
        <v>32.799999999999997</v>
      </c>
      <c r="D483" s="1">
        <f>Table4[[#This Row],[Quantity sold]]+5</f>
        <v>15</v>
      </c>
      <c r="E483" s="20">
        <v>16.399999999999999</v>
      </c>
    </row>
    <row r="484" spans="1:5" x14ac:dyDescent="0.35">
      <c r="A484" s="6">
        <f t="shared" si="7"/>
        <v>1482</v>
      </c>
      <c r="B484" s="1" t="s">
        <v>4</v>
      </c>
      <c r="C484" s="20">
        <v>37.14</v>
      </c>
      <c r="D484" s="1">
        <f>Table4[[#This Row],[Quantity sold]]+5</f>
        <v>10</v>
      </c>
      <c r="E484" s="20">
        <v>9.2850000000000001</v>
      </c>
    </row>
    <row r="485" spans="1:5" x14ac:dyDescent="0.35">
      <c r="A485" s="6">
        <f t="shared" si="7"/>
        <v>1483</v>
      </c>
      <c r="B485" s="1" t="s">
        <v>3</v>
      </c>
      <c r="C485" s="20">
        <v>60.38</v>
      </c>
      <c r="D485" s="1">
        <f>Table4[[#This Row],[Quantity sold]]+5</f>
        <v>15</v>
      </c>
      <c r="E485" s="20">
        <v>30.19</v>
      </c>
    </row>
    <row r="486" spans="1:5" x14ac:dyDescent="0.35">
      <c r="A486" s="6">
        <f t="shared" si="7"/>
        <v>1484</v>
      </c>
      <c r="B486" s="1" t="s">
        <v>4</v>
      </c>
      <c r="C486" s="20">
        <v>36.979999999999997</v>
      </c>
      <c r="D486" s="1">
        <f>Table4[[#This Row],[Quantity sold]]+5</f>
        <v>10</v>
      </c>
      <c r="E486" s="20">
        <v>18.489999999999998</v>
      </c>
    </row>
    <row r="487" spans="1:5" x14ac:dyDescent="0.35">
      <c r="A487" s="6">
        <f t="shared" si="7"/>
        <v>1485</v>
      </c>
      <c r="B487" s="1" t="s">
        <v>4</v>
      </c>
      <c r="C487" s="20">
        <v>49.49</v>
      </c>
      <c r="D487" s="1">
        <f>Table4[[#This Row],[Quantity sold]]+5</f>
        <v>12</v>
      </c>
      <c r="E487" s="20">
        <v>9.8979999999999997</v>
      </c>
    </row>
    <row r="488" spans="1:5" x14ac:dyDescent="0.35">
      <c r="A488" s="6">
        <f t="shared" si="7"/>
        <v>1486</v>
      </c>
      <c r="B488" s="1" t="s">
        <v>6</v>
      </c>
      <c r="C488" s="20">
        <v>41.09</v>
      </c>
      <c r="D488" s="1">
        <f>Table4[[#This Row],[Quantity sold]]+5</f>
        <v>7</v>
      </c>
      <c r="E488" s="20">
        <v>20.545000000000002</v>
      </c>
    </row>
    <row r="489" spans="1:5" x14ac:dyDescent="0.35">
      <c r="A489" s="6">
        <f t="shared" si="7"/>
        <v>1487</v>
      </c>
      <c r="B489" s="1" t="s">
        <v>6</v>
      </c>
      <c r="C489" s="20">
        <v>37.15</v>
      </c>
      <c r="D489" s="1">
        <f>Table4[[#This Row],[Quantity sold]]+5</f>
        <v>8</v>
      </c>
      <c r="E489" s="20">
        <v>7.43</v>
      </c>
    </row>
    <row r="490" spans="1:5" x14ac:dyDescent="0.35">
      <c r="A490" s="6">
        <f t="shared" si="7"/>
        <v>1488</v>
      </c>
      <c r="B490" s="1" t="s">
        <v>3</v>
      </c>
      <c r="C490" s="20">
        <v>22.96</v>
      </c>
      <c r="D490" s="1">
        <f>Table4[[#This Row],[Quantity sold]]+5</f>
        <v>14</v>
      </c>
      <c r="E490" s="20">
        <v>1.1479999999999999</v>
      </c>
    </row>
    <row r="491" spans="1:5" x14ac:dyDescent="0.35">
      <c r="A491" s="6">
        <f t="shared" si="7"/>
        <v>1489</v>
      </c>
      <c r="B491" s="1" t="s">
        <v>3</v>
      </c>
      <c r="C491" s="20">
        <v>77.680000000000007</v>
      </c>
      <c r="D491" s="1">
        <f>Table4[[#This Row],[Quantity sold]]+5</f>
        <v>7</v>
      </c>
      <c r="E491" s="20">
        <v>34.956000000000003</v>
      </c>
    </row>
    <row r="492" spans="1:5" x14ac:dyDescent="0.35">
      <c r="A492" s="6">
        <f t="shared" si="7"/>
        <v>1490</v>
      </c>
      <c r="B492" s="1" t="s">
        <v>6</v>
      </c>
      <c r="C492" s="20">
        <v>34.700000000000003</v>
      </c>
      <c r="D492" s="1">
        <f>Table4[[#This Row],[Quantity sold]]+5</f>
        <v>9</v>
      </c>
      <c r="E492" s="20">
        <v>3.47</v>
      </c>
    </row>
    <row r="493" spans="1:5" x14ac:dyDescent="0.35">
      <c r="A493" s="6">
        <f t="shared" si="7"/>
        <v>1491</v>
      </c>
      <c r="B493" s="1" t="s">
        <v>6</v>
      </c>
      <c r="C493" s="20">
        <v>19.66</v>
      </c>
      <c r="D493" s="1">
        <f>Table4[[#This Row],[Quantity sold]]+5</f>
        <v>15</v>
      </c>
      <c r="E493" s="20">
        <v>9.83</v>
      </c>
    </row>
    <row r="494" spans="1:5" x14ac:dyDescent="0.35">
      <c r="A494" s="6">
        <f t="shared" si="7"/>
        <v>1492</v>
      </c>
      <c r="B494" s="1" t="s">
        <v>1</v>
      </c>
      <c r="C494" s="20">
        <v>25.32</v>
      </c>
      <c r="D494" s="1">
        <f>Table4[[#This Row],[Quantity sold]]+5</f>
        <v>14</v>
      </c>
      <c r="E494" s="20">
        <v>10.128</v>
      </c>
    </row>
    <row r="495" spans="1:5" x14ac:dyDescent="0.35">
      <c r="A495" s="6">
        <f t="shared" si="7"/>
        <v>1493</v>
      </c>
      <c r="B495" s="1" t="s">
        <v>3</v>
      </c>
      <c r="C495" s="20">
        <v>12.12</v>
      </c>
      <c r="D495" s="1">
        <f>Table4[[#This Row],[Quantity sold]]+5</f>
        <v>13</v>
      </c>
      <c r="E495" s="20">
        <v>6.06</v>
      </c>
    </row>
    <row r="496" spans="1:5" x14ac:dyDescent="0.35">
      <c r="A496" s="6">
        <f t="shared" si="7"/>
        <v>1494</v>
      </c>
      <c r="B496" s="1" t="s">
        <v>6</v>
      </c>
      <c r="C496" s="20">
        <v>99.89</v>
      </c>
      <c r="D496" s="1">
        <f>Table4[[#This Row],[Quantity sold]]+5</f>
        <v>9</v>
      </c>
      <c r="E496" s="20">
        <v>9.9890000000000008</v>
      </c>
    </row>
    <row r="497" spans="1:5" x14ac:dyDescent="0.35">
      <c r="A497" s="6">
        <f t="shared" si="7"/>
        <v>1495</v>
      </c>
      <c r="B497" s="1" t="s">
        <v>4</v>
      </c>
      <c r="C497" s="20">
        <v>75.92</v>
      </c>
      <c r="D497" s="1">
        <f>Table4[[#This Row],[Quantity sold]]+5</f>
        <v>8</v>
      </c>
      <c r="E497" s="20">
        <v>30.367999999999999</v>
      </c>
    </row>
    <row r="498" spans="1:5" x14ac:dyDescent="0.35">
      <c r="A498" s="6">
        <f t="shared" si="7"/>
        <v>1496</v>
      </c>
      <c r="B498" s="1" t="s">
        <v>2</v>
      </c>
      <c r="C498" s="20">
        <v>63.22</v>
      </c>
      <c r="D498" s="1">
        <f>Table4[[#This Row],[Quantity sold]]+5</f>
        <v>12</v>
      </c>
      <c r="E498" s="20">
        <v>6.3220000000000001</v>
      </c>
    </row>
    <row r="499" spans="1:5" x14ac:dyDescent="0.35">
      <c r="A499" s="6">
        <f t="shared" si="7"/>
        <v>1497</v>
      </c>
      <c r="B499" s="1" t="s">
        <v>5</v>
      </c>
      <c r="C499" s="20">
        <v>90.24</v>
      </c>
      <c r="D499" s="1">
        <f>Table4[[#This Row],[Quantity sold]]+5</f>
        <v>8</v>
      </c>
      <c r="E499" s="20">
        <v>27.071999999999999</v>
      </c>
    </row>
    <row r="500" spans="1:5" x14ac:dyDescent="0.35">
      <c r="A500" s="6">
        <f t="shared" si="7"/>
        <v>1498</v>
      </c>
      <c r="B500" s="1" t="s">
        <v>4</v>
      </c>
      <c r="C500" s="20">
        <v>98.13</v>
      </c>
      <c r="D500" s="1">
        <f>Table4[[#This Row],[Quantity sold]]+5</f>
        <v>13</v>
      </c>
      <c r="E500" s="20">
        <v>4.9065000000000003</v>
      </c>
    </row>
    <row r="501" spans="1:5" x14ac:dyDescent="0.35">
      <c r="A501" s="6">
        <f t="shared" si="7"/>
        <v>1499</v>
      </c>
      <c r="B501" s="1" t="s">
        <v>4</v>
      </c>
      <c r="C501" s="20">
        <v>51.52</v>
      </c>
      <c r="D501" s="1">
        <f>Table4[[#This Row],[Quantity sold]]+5</f>
        <v>6</v>
      </c>
      <c r="E501" s="20">
        <v>20.608000000000001</v>
      </c>
    </row>
    <row r="502" spans="1:5" x14ac:dyDescent="0.35">
      <c r="A502" s="6">
        <f t="shared" si="7"/>
        <v>1500</v>
      </c>
      <c r="B502" s="1" t="s">
        <v>4</v>
      </c>
      <c r="C502" s="20">
        <v>73.97</v>
      </c>
      <c r="D502" s="1">
        <f>Table4[[#This Row],[Quantity sold]]+5</f>
        <v>14</v>
      </c>
      <c r="E502" s="20">
        <v>3.6985000000000001</v>
      </c>
    </row>
    <row r="503" spans="1:5" x14ac:dyDescent="0.35">
      <c r="A503" s="6">
        <f t="shared" si="7"/>
        <v>1501</v>
      </c>
      <c r="B503" s="1" t="s">
        <v>6</v>
      </c>
      <c r="C503" s="20">
        <v>31.9</v>
      </c>
      <c r="D503" s="1">
        <f>Table4[[#This Row],[Quantity sold]]+5</f>
        <v>6</v>
      </c>
      <c r="E503" s="20">
        <v>1.595</v>
      </c>
    </row>
    <row r="504" spans="1:5" x14ac:dyDescent="0.35">
      <c r="A504" s="6">
        <f t="shared" si="7"/>
        <v>1502</v>
      </c>
      <c r="B504" s="1" t="s">
        <v>3</v>
      </c>
      <c r="C504" s="20">
        <v>69.400000000000006</v>
      </c>
      <c r="D504" s="1">
        <f>Table4[[#This Row],[Quantity sold]]+5</f>
        <v>12</v>
      </c>
      <c r="E504" s="20">
        <v>6.94</v>
      </c>
    </row>
    <row r="505" spans="1:5" x14ac:dyDescent="0.35">
      <c r="A505" s="6">
        <f t="shared" si="7"/>
        <v>1503</v>
      </c>
      <c r="B505" s="1" t="s">
        <v>4</v>
      </c>
      <c r="C505" s="20">
        <v>93.31</v>
      </c>
      <c r="D505" s="1">
        <f>Table4[[#This Row],[Quantity sold]]+5</f>
        <v>9</v>
      </c>
      <c r="E505" s="20">
        <v>9.3309999999999995</v>
      </c>
    </row>
    <row r="506" spans="1:5" x14ac:dyDescent="0.35">
      <c r="A506" s="6">
        <f t="shared" si="7"/>
        <v>1504</v>
      </c>
      <c r="B506" s="1" t="s">
        <v>4</v>
      </c>
      <c r="C506" s="20">
        <v>88.45</v>
      </c>
      <c r="D506" s="1">
        <f>Table4[[#This Row],[Quantity sold]]+5</f>
        <v>13</v>
      </c>
      <c r="E506" s="20">
        <v>4.4225000000000003</v>
      </c>
    </row>
    <row r="507" spans="1:5" x14ac:dyDescent="0.35">
      <c r="A507" s="6">
        <f t="shared" si="7"/>
        <v>1505</v>
      </c>
      <c r="B507" s="1" t="s">
        <v>2</v>
      </c>
      <c r="C507" s="20">
        <v>24.18</v>
      </c>
      <c r="D507" s="1">
        <f>Table4[[#This Row],[Quantity sold]]+5</f>
        <v>12</v>
      </c>
      <c r="E507" s="20">
        <v>9.6720000000000006</v>
      </c>
    </row>
    <row r="508" spans="1:5" x14ac:dyDescent="0.35">
      <c r="A508" s="6">
        <f t="shared" si="7"/>
        <v>1506</v>
      </c>
      <c r="B508" s="1" t="s">
        <v>4</v>
      </c>
      <c r="C508" s="20">
        <v>48.5</v>
      </c>
      <c r="D508" s="1">
        <f>Table4[[#This Row],[Quantity sold]]+5</f>
        <v>14</v>
      </c>
      <c r="E508" s="20">
        <v>7.2750000000000004</v>
      </c>
    </row>
    <row r="509" spans="1:5" x14ac:dyDescent="0.35">
      <c r="A509" s="6">
        <f t="shared" si="7"/>
        <v>1507</v>
      </c>
      <c r="B509" s="1" t="s">
        <v>5</v>
      </c>
      <c r="C509" s="20">
        <v>84.05</v>
      </c>
      <c r="D509" s="1">
        <f>Table4[[#This Row],[Quantity sold]]+5</f>
        <v>8</v>
      </c>
      <c r="E509" s="20">
        <v>25.215</v>
      </c>
    </row>
    <row r="510" spans="1:5" x14ac:dyDescent="0.35">
      <c r="A510" s="6">
        <f t="shared" si="7"/>
        <v>1508</v>
      </c>
      <c r="B510" s="1" t="s">
        <v>1</v>
      </c>
      <c r="C510" s="20">
        <v>61.29</v>
      </c>
      <c r="D510" s="1">
        <f>Table4[[#This Row],[Quantity sold]]+5</f>
        <v>8</v>
      </c>
      <c r="E510" s="20">
        <v>15.3225</v>
      </c>
    </row>
    <row r="511" spans="1:5" x14ac:dyDescent="0.35">
      <c r="A511" s="6">
        <f t="shared" si="7"/>
        <v>1509</v>
      </c>
      <c r="B511" s="1" t="s">
        <v>3</v>
      </c>
      <c r="C511" s="20">
        <v>15.95</v>
      </c>
      <c r="D511" s="1">
        <f>Table4[[#This Row],[Quantity sold]]+5</f>
        <v>10</v>
      </c>
      <c r="E511" s="20">
        <v>4.7850000000000001</v>
      </c>
    </row>
    <row r="512" spans="1:5" x14ac:dyDescent="0.35">
      <c r="A512" s="6">
        <f t="shared" si="7"/>
        <v>1510</v>
      </c>
      <c r="B512" s="1" t="s">
        <v>4</v>
      </c>
      <c r="C512" s="20">
        <v>90.74</v>
      </c>
      <c r="D512" s="1">
        <f>Table4[[#This Row],[Quantity sold]]+5</f>
        <v>6</v>
      </c>
      <c r="E512" s="20">
        <v>31.759</v>
      </c>
    </row>
    <row r="513" spans="1:5" x14ac:dyDescent="0.35">
      <c r="A513" s="6">
        <f t="shared" si="7"/>
        <v>1511</v>
      </c>
      <c r="B513" s="1" t="s">
        <v>3</v>
      </c>
      <c r="C513" s="20">
        <v>42.91</v>
      </c>
      <c r="D513" s="1">
        <f>Table4[[#This Row],[Quantity sold]]+5</f>
        <v>6</v>
      </c>
      <c r="E513" s="20">
        <v>10.727499999999999</v>
      </c>
    </row>
    <row r="514" spans="1:5" x14ac:dyDescent="0.35">
      <c r="A514" s="6">
        <f t="shared" si="7"/>
        <v>1512</v>
      </c>
      <c r="B514" s="1" t="s">
        <v>6</v>
      </c>
      <c r="C514" s="20">
        <v>54.28</v>
      </c>
      <c r="D514" s="1">
        <f>Table4[[#This Row],[Quantity sold]]+5</f>
        <v>6</v>
      </c>
      <c r="E514" s="20">
        <v>18.998000000000001</v>
      </c>
    </row>
    <row r="515" spans="1:5" x14ac:dyDescent="0.35">
      <c r="A515" s="6">
        <f t="shared" si="7"/>
        <v>1513</v>
      </c>
      <c r="B515" s="1" t="s">
        <v>2</v>
      </c>
      <c r="C515" s="20">
        <v>99.55</v>
      </c>
      <c r="D515" s="1">
        <f>Table4[[#This Row],[Quantity sold]]+5</f>
        <v>15</v>
      </c>
      <c r="E515" s="20">
        <v>34.842500000000001</v>
      </c>
    </row>
    <row r="516" spans="1:5" x14ac:dyDescent="0.35">
      <c r="A516" s="6">
        <f t="shared" si="7"/>
        <v>1514</v>
      </c>
      <c r="B516" s="1" t="s">
        <v>4</v>
      </c>
      <c r="C516" s="20">
        <v>58.39</v>
      </c>
      <c r="D516" s="1">
        <f>Table4[[#This Row],[Quantity sold]]+5</f>
        <v>6</v>
      </c>
      <c r="E516" s="20">
        <v>20.436499999999999</v>
      </c>
    </row>
    <row r="517" spans="1:5" x14ac:dyDescent="0.35">
      <c r="A517" s="6">
        <f t="shared" ref="A517:A580" si="8">A516+1</f>
        <v>1515</v>
      </c>
      <c r="B517" s="1" t="s">
        <v>6</v>
      </c>
      <c r="C517" s="20">
        <v>51.47</v>
      </c>
      <c r="D517" s="1">
        <f>Table4[[#This Row],[Quantity sold]]+5</f>
        <v>9</v>
      </c>
      <c r="E517" s="20">
        <v>2.5735000000000001</v>
      </c>
    </row>
    <row r="518" spans="1:5" x14ac:dyDescent="0.35">
      <c r="A518" s="6">
        <f t="shared" si="8"/>
        <v>1516</v>
      </c>
      <c r="B518" s="1" t="s">
        <v>1</v>
      </c>
      <c r="C518" s="20">
        <v>54.86</v>
      </c>
      <c r="D518" s="1">
        <f>Table4[[#This Row],[Quantity sold]]+5</f>
        <v>13</v>
      </c>
      <c r="E518" s="20">
        <v>13.715</v>
      </c>
    </row>
    <row r="519" spans="1:5" x14ac:dyDescent="0.35">
      <c r="A519" s="6">
        <f t="shared" si="8"/>
        <v>1517</v>
      </c>
      <c r="B519" s="1" t="s">
        <v>3</v>
      </c>
      <c r="C519" s="20">
        <v>39.39</v>
      </c>
      <c r="D519" s="1">
        <f>Table4[[#This Row],[Quantity sold]]+5</f>
        <v>9</v>
      </c>
      <c r="E519" s="20">
        <v>9.8475000000000001</v>
      </c>
    </row>
    <row r="520" spans="1:5" x14ac:dyDescent="0.35">
      <c r="A520" s="6">
        <f t="shared" si="8"/>
        <v>1518</v>
      </c>
      <c r="B520" s="1" t="s">
        <v>3</v>
      </c>
      <c r="C520" s="20">
        <v>34.729999999999997</v>
      </c>
      <c r="D520" s="1">
        <f>Table4[[#This Row],[Quantity sold]]+5</f>
        <v>10</v>
      </c>
      <c r="E520" s="20">
        <v>3.4729999999999999</v>
      </c>
    </row>
    <row r="521" spans="1:5" x14ac:dyDescent="0.35">
      <c r="A521" s="6">
        <f t="shared" si="8"/>
        <v>1519</v>
      </c>
      <c r="B521" s="1" t="s">
        <v>4</v>
      </c>
      <c r="C521" s="20">
        <v>71.92</v>
      </c>
      <c r="D521" s="1">
        <f>Table4[[#This Row],[Quantity sold]]+5</f>
        <v>12</v>
      </c>
      <c r="E521" s="20">
        <v>17.98</v>
      </c>
    </row>
    <row r="522" spans="1:5" x14ac:dyDescent="0.35">
      <c r="A522" s="6">
        <f t="shared" si="8"/>
        <v>1520</v>
      </c>
      <c r="B522" s="1" t="s">
        <v>2</v>
      </c>
      <c r="C522" s="20">
        <v>45.71</v>
      </c>
      <c r="D522" s="1">
        <f>Table4[[#This Row],[Quantity sold]]+5</f>
        <v>9</v>
      </c>
      <c r="E522" s="20">
        <v>6.8564999999999996</v>
      </c>
    </row>
    <row r="523" spans="1:5" x14ac:dyDescent="0.35">
      <c r="A523" s="6">
        <f t="shared" si="8"/>
        <v>1521</v>
      </c>
      <c r="B523" s="1" t="s">
        <v>3</v>
      </c>
      <c r="C523" s="20">
        <v>83.17</v>
      </c>
      <c r="D523" s="1">
        <f>Table4[[#This Row],[Quantity sold]]+5</f>
        <v>6</v>
      </c>
      <c r="E523" s="20">
        <v>24.951000000000001</v>
      </c>
    </row>
    <row r="524" spans="1:5" x14ac:dyDescent="0.35">
      <c r="A524" s="6">
        <f t="shared" si="8"/>
        <v>1522</v>
      </c>
      <c r="B524" s="1" t="s">
        <v>3</v>
      </c>
      <c r="C524" s="20">
        <v>37.44</v>
      </c>
      <c r="D524" s="1">
        <f>Table4[[#This Row],[Quantity sold]]+5</f>
        <v>9</v>
      </c>
      <c r="E524" s="20">
        <v>11.231999999999999</v>
      </c>
    </row>
    <row r="525" spans="1:5" x14ac:dyDescent="0.35">
      <c r="A525" s="6">
        <f t="shared" si="8"/>
        <v>1523</v>
      </c>
      <c r="B525" s="1" t="s">
        <v>1</v>
      </c>
      <c r="C525" s="20">
        <v>62.87</v>
      </c>
      <c r="D525" s="1">
        <f>Table4[[#This Row],[Quantity sold]]+5</f>
        <v>7</v>
      </c>
      <c r="E525" s="20">
        <v>6.2869999999999999</v>
      </c>
    </row>
    <row r="526" spans="1:5" x14ac:dyDescent="0.35">
      <c r="A526" s="6">
        <f t="shared" si="8"/>
        <v>1524</v>
      </c>
      <c r="B526" s="1" t="s">
        <v>5</v>
      </c>
      <c r="C526" s="20">
        <v>81.709999999999994</v>
      </c>
      <c r="D526" s="1">
        <f>Table4[[#This Row],[Quantity sold]]+5</f>
        <v>13</v>
      </c>
      <c r="E526" s="20">
        <v>24.513000000000002</v>
      </c>
    </row>
    <row r="527" spans="1:5" x14ac:dyDescent="0.35">
      <c r="A527" s="6">
        <f t="shared" si="8"/>
        <v>1525</v>
      </c>
      <c r="B527" s="1" t="s">
        <v>4</v>
      </c>
      <c r="C527" s="20">
        <v>91.41</v>
      </c>
      <c r="D527" s="1">
        <f>Table4[[#This Row],[Quantity sold]]+5</f>
        <v>15</v>
      </c>
      <c r="E527" s="20">
        <v>22.852499999999999</v>
      </c>
    </row>
    <row r="528" spans="1:5" x14ac:dyDescent="0.35">
      <c r="A528" s="6">
        <f t="shared" si="8"/>
        <v>1526</v>
      </c>
      <c r="B528" s="1" t="s">
        <v>6</v>
      </c>
      <c r="C528" s="20">
        <v>39.21</v>
      </c>
      <c r="D528" s="1">
        <f>Table4[[#This Row],[Quantity sold]]+5</f>
        <v>14</v>
      </c>
      <c r="E528" s="20">
        <v>7.8419999999999996</v>
      </c>
    </row>
    <row r="529" spans="1:5" x14ac:dyDescent="0.35">
      <c r="A529" s="6">
        <f t="shared" si="8"/>
        <v>1527</v>
      </c>
      <c r="B529" s="1" t="s">
        <v>6</v>
      </c>
      <c r="C529" s="20">
        <v>59.86</v>
      </c>
      <c r="D529" s="1">
        <f>Table4[[#This Row],[Quantity sold]]+5</f>
        <v>9</v>
      </c>
      <c r="E529" s="20">
        <v>5.9859999999999998</v>
      </c>
    </row>
    <row r="530" spans="1:5" x14ac:dyDescent="0.35">
      <c r="A530" s="6">
        <f t="shared" si="8"/>
        <v>1528</v>
      </c>
      <c r="B530" s="1" t="s">
        <v>5</v>
      </c>
      <c r="C530" s="20">
        <v>54.36</v>
      </c>
      <c r="D530" s="1">
        <f>Table4[[#This Row],[Quantity sold]]+5</f>
        <v>13</v>
      </c>
      <c r="E530" s="20">
        <v>27.18</v>
      </c>
    </row>
    <row r="531" spans="1:5" x14ac:dyDescent="0.35">
      <c r="A531" s="6">
        <f t="shared" si="8"/>
        <v>1529</v>
      </c>
      <c r="B531" s="1" t="s">
        <v>4</v>
      </c>
      <c r="C531" s="20">
        <v>98.09</v>
      </c>
      <c r="D531" s="1">
        <f>Table4[[#This Row],[Quantity sold]]+5</f>
        <v>14</v>
      </c>
      <c r="E531" s="20">
        <v>44.140500000000003</v>
      </c>
    </row>
    <row r="532" spans="1:5" x14ac:dyDescent="0.35">
      <c r="A532" s="6">
        <f t="shared" si="8"/>
        <v>1530</v>
      </c>
      <c r="B532" s="1" t="s">
        <v>1</v>
      </c>
      <c r="C532" s="20">
        <v>25.43</v>
      </c>
      <c r="D532" s="1">
        <f>Table4[[#This Row],[Quantity sold]]+5</f>
        <v>7</v>
      </c>
      <c r="E532" s="20">
        <v>7.6289999999999996</v>
      </c>
    </row>
    <row r="533" spans="1:5" x14ac:dyDescent="0.35">
      <c r="A533" s="6">
        <f t="shared" si="8"/>
        <v>1531</v>
      </c>
      <c r="B533" s="1" t="s">
        <v>6</v>
      </c>
      <c r="C533" s="20">
        <v>86.68</v>
      </c>
      <c r="D533" s="1">
        <f>Table4[[#This Row],[Quantity sold]]+5</f>
        <v>6</v>
      </c>
      <c r="E533" s="20">
        <v>34.671999999999997</v>
      </c>
    </row>
    <row r="534" spans="1:5" x14ac:dyDescent="0.35">
      <c r="A534" s="6">
        <f t="shared" si="8"/>
        <v>1532</v>
      </c>
      <c r="B534" s="1" t="s">
        <v>2</v>
      </c>
      <c r="C534" s="20">
        <v>22.95</v>
      </c>
      <c r="D534" s="1">
        <f>Table4[[#This Row],[Quantity sold]]+5</f>
        <v>7</v>
      </c>
      <c r="E534" s="20">
        <v>11.475</v>
      </c>
    </row>
    <row r="535" spans="1:5" x14ac:dyDescent="0.35">
      <c r="A535" s="6">
        <f t="shared" si="8"/>
        <v>1533</v>
      </c>
      <c r="B535" s="1" t="s">
        <v>5</v>
      </c>
      <c r="C535" s="20">
        <v>16.309999999999999</v>
      </c>
      <c r="D535" s="1">
        <f>Table4[[#This Row],[Quantity sold]]+5</f>
        <v>13</v>
      </c>
      <c r="E535" s="20">
        <v>7.3395000000000001</v>
      </c>
    </row>
    <row r="536" spans="1:5" x14ac:dyDescent="0.35">
      <c r="A536" s="6">
        <f t="shared" si="8"/>
        <v>1534</v>
      </c>
      <c r="B536" s="1" t="s">
        <v>3</v>
      </c>
      <c r="C536" s="20">
        <v>28.32</v>
      </c>
      <c r="D536" s="1">
        <f>Table4[[#This Row],[Quantity sold]]+5</f>
        <v>6</v>
      </c>
      <c r="E536" s="20">
        <v>7.08</v>
      </c>
    </row>
    <row r="537" spans="1:5" x14ac:dyDescent="0.35">
      <c r="A537" s="6">
        <f t="shared" si="8"/>
        <v>1535</v>
      </c>
      <c r="B537" s="1" t="s">
        <v>3</v>
      </c>
      <c r="C537" s="20">
        <v>16.670000000000002</v>
      </c>
      <c r="D537" s="1">
        <f>Table4[[#This Row],[Quantity sold]]+5</f>
        <v>10</v>
      </c>
      <c r="E537" s="20">
        <v>5.8345000000000002</v>
      </c>
    </row>
    <row r="538" spans="1:5" x14ac:dyDescent="0.35">
      <c r="A538" s="6">
        <f t="shared" si="8"/>
        <v>1536</v>
      </c>
      <c r="B538" s="1" t="s">
        <v>6</v>
      </c>
      <c r="C538" s="20">
        <v>73.959999999999994</v>
      </c>
      <c r="D538" s="1">
        <f>Table4[[#This Row],[Quantity sold]]+5</f>
        <v>15</v>
      </c>
      <c r="E538" s="20">
        <v>3.698</v>
      </c>
    </row>
    <row r="539" spans="1:5" x14ac:dyDescent="0.35">
      <c r="A539" s="6">
        <f t="shared" si="8"/>
        <v>1537</v>
      </c>
      <c r="B539" s="1" t="s">
        <v>3</v>
      </c>
      <c r="C539" s="20">
        <v>97.94</v>
      </c>
      <c r="D539" s="1">
        <f>Table4[[#This Row],[Quantity sold]]+5</f>
        <v>6</v>
      </c>
      <c r="E539" s="20">
        <v>4.8970000000000002</v>
      </c>
    </row>
    <row r="540" spans="1:5" x14ac:dyDescent="0.35">
      <c r="A540" s="6">
        <f t="shared" si="8"/>
        <v>1538</v>
      </c>
      <c r="B540" s="1" t="s">
        <v>6</v>
      </c>
      <c r="C540" s="20">
        <v>73.05</v>
      </c>
      <c r="D540" s="1">
        <f>Table4[[#This Row],[Quantity sold]]+5</f>
        <v>13</v>
      </c>
      <c r="E540" s="20">
        <v>14.61</v>
      </c>
    </row>
    <row r="541" spans="1:5" x14ac:dyDescent="0.35">
      <c r="A541" s="6">
        <f t="shared" si="8"/>
        <v>1539</v>
      </c>
      <c r="B541" s="1" t="s">
        <v>5</v>
      </c>
      <c r="C541" s="20">
        <v>87.48</v>
      </c>
      <c r="D541" s="1">
        <f>Table4[[#This Row],[Quantity sold]]+5</f>
        <v>12</v>
      </c>
      <c r="E541" s="20">
        <v>26.244</v>
      </c>
    </row>
    <row r="542" spans="1:5" x14ac:dyDescent="0.35">
      <c r="A542" s="6">
        <f t="shared" si="8"/>
        <v>1540</v>
      </c>
      <c r="B542" s="1" t="s">
        <v>3</v>
      </c>
      <c r="C542" s="20">
        <v>30.68</v>
      </c>
      <c r="D542" s="1">
        <f>Table4[[#This Row],[Quantity sold]]+5</f>
        <v>15</v>
      </c>
      <c r="E542" s="20">
        <v>4.6020000000000003</v>
      </c>
    </row>
    <row r="543" spans="1:5" x14ac:dyDescent="0.35">
      <c r="A543" s="6">
        <f t="shared" si="8"/>
        <v>1541</v>
      </c>
      <c r="B543" s="1" t="s">
        <v>1</v>
      </c>
      <c r="C543" s="20">
        <v>75.88</v>
      </c>
      <c r="D543" s="1">
        <f>Table4[[#This Row],[Quantity sold]]+5</f>
        <v>9</v>
      </c>
      <c r="E543" s="20">
        <v>3.794</v>
      </c>
    </row>
    <row r="544" spans="1:5" x14ac:dyDescent="0.35">
      <c r="A544" s="6">
        <f t="shared" si="8"/>
        <v>1542</v>
      </c>
      <c r="B544" s="1" t="s">
        <v>4</v>
      </c>
      <c r="C544" s="20">
        <v>20.18</v>
      </c>
      <c r="D544" s="1">
        <f>Table4[[#This Row],[Quantity sold]]+5</f>
        <v>10</v>
      </c>
      <c r="E544" s="20">
        <v>4.0359999999999996</v>
      </c>
    </row>
    <row r="545" spans="1:5" x14ac:dyDescent="0.35">
      <c r="A545" s="6">
        <f t="shared" si="8"/>
        <v>1543</v>
      </c>
      <c r="B545" s="1" t="s">
        <v>2</v>
      </c>
      <c r="C545" s="20">
        <v>18.77</v>
      </c>
      <c r="D545" s="1">
        <f>Table4[[#This Row],[Quantity sold]]+5</f>
        <v>10</v>
      </c>
      <c r="E545" s="20">
        <v>5.6310000000000002</v>
      </c>
    </row>
    <row r="546" spans="1:5" x14ac:dyDescent="0.35">
      <c r="A546" s="6">
        <f t="shared" si="8"/>
        <v>1544</v>
      </c>
      <c r="B546" s="1" t="s">
        <v>5</v>
      </c>
      <c r="C546" s="20">
        <v>71.2</v>
      </c>
      <c r="D546" s="1">
        <f>Table4[[#This Row],[Quantity sold]]+5</f>
        <v>9</v>
      </c>
      <c r="E546" s="20">
        <v>3.56</v>
      </c>
    </row>
    <row r="547" spans="1:5" x14ac:dyDescent="0.35">
      <c r="A547" s="6">
        <f t="shared" si="8"/>
        <v>1545</v>
      </c>
      <c r="B547" s="1" t="s">
        <v>3</v>
      </c>
      <c r="C547" s="20">
        <v>38.81</v>
      </c>
      <c r="D547" s="1">
        <f>Table4[[#This Row],[Quantity sold]]+5</f>
        <v>6</v>
      </c>
      <c r="E547" s="20">
        <v>7.7619999999999996</v>
      </c>
    </row>
    <row r="548" spans="1:5" x14ac:dyDescent="0.35">
      <c r="A548" s="6">
        <f t="shared" si="8"/>
        <v>1546</v>
      </c>
      <c r="B548" s="1" t="s">
        <v>6</v>
      </c>
      <c r="C548" s="20">
        <v>29.42</v>
      </c>
      <c r="D548" s="1">
        <f>Table4[[#This Row],[Quantity sold]]+5</f>
        <v>10</v>
      </c>
      <c r="E548" s="20">
        <v>14.71</v>
      </c>
    </row>
    <row r="549" spans="1:5" x14ac:dyDescent="0.35">
      <c r="A549" s="6">
        <f t="shared" si="8"/>
        <v>1547</v>
      </c>
      <c r="B549" s="1" t="s">
        <v>4</v>
      </c>
      <c r="C549" s="20">
        <v>60.95</v>
      </c>
      <c r="D549" s="1">
        <f>Table4[[#This Row],[Quantity sold]]+5</f>
        <v>15</v>
      </c>
      <c r="E549" s="20">
        <v>27.427499999999998</v>
      </c>
    </row>
    <row r="550" spans="1:5" x14ac:dyDescent="0.35">
      <c r="A550" s="6">
        <f t="shared" si="8"/>
        <v>1548</v>
      </c>
      <c r="B550" s="1" t="s">
        <v>4</v>
      </c>
      <c r="C550" s="20">
        <v>51.54</v>
      </c>
      <c r="D550" s="1">
        <f>Table4[[#This Row],[Quantity sold]]+5</f>
        <v>15</v>
      </c>
      <c r="E550" s="20">
        <v>12.885</v>
      </c>
    </row>
    <row r="551" spans="1:5" x14ac:dyDescent="0.35">
      <c r="A551" s="6">
        <f t="shared" si="8"/>
        <v>1549</v>
      </c>
      <c r="B551" s="1" t="s">
        <v>2</v>
      </c>
      <c r="C551" s="20">
        <v>66.06</v>
      </c>
      <c r="D551" s="1">
        <f>Table4[[#This Row],[Quantity sold]]+5</f>
        <v>9</v>
      </c>
      <c r="E551" s="20">
        <v>19.818000000000001</v>
      </c>
    </row>
    <row r="552" spans="1:5" x14ac:dyDescent="0.35">
      <c r="A552" s="6">
        <f t="shared" si="8"/>
        <v>1550</v>
      </c>
      <c r="B552" s="1" t="s">
        <v>6</v>
      </c>
      <c r="C552" s="20">
        <v>57.27</v>
      </c>
      <c r="D552" s="1">
        <f>Table4[[#This Row],[Quantity sold]]+5</f>
        <v>7</v>
      </c>
      <c r="E552" s="20">
        <v>8.5905000000000005</v>
      </c>
    </row>
    <row r="553" spans="1:5" x14ac:dyDescent="0.35">
      <c r="A553" s="6">
        <f t="shared" si="8"/>
        <v>1551</v>
      </c>
      <c r="B553" s="1" t="s">
        <v>6</v>
      </c>
      <c r="C553" s="20">
        <v>54.31</v>
      </c>
      <c r="D553" s="1">
        <f>Table4[[#This Row],[Quantity sold]]+5</f>
        <v>10</v>
      </c>
      <c r="E553" s="20">
        <v>24.439499999999999</v>
      </c>
    </row>
    <row r="554" spans="1:5" x14ac:dyDescent="0.35">
      <c r="A554" s="6">
        <f t="shared" si="8"/>
        <v>1552</v>
      </c>
      <c r="B554" s="1" t="s">
        <v>1</v>
      </c>
      <c r="C554" s="20">
        <v>58.24</v>
      </c>
      <c r="D554" s="1">
        <f>Table4[[#This Row],[Quantity sold]]+5</f>
        <v>11</v>
      </c>
      <c r="E554" s="20">
        <v>26.207999999999998</v>
      </c>
    </row>
    <row r="555" spans="1:5" x14ac:dyDescent="0.35">
      <c r="A555" s="6">
        <f t="shared" si="8"/>
        <v>1553</v>
      </c>
      <c r="B555" s="1" t="s">
        <v>2</v>
      </c>
      <c r="C555" s="20">
        <v>22.21</v>
      </c>
      <c r="D555" s="1">
        <f>Table4[[#This Row],[Quantity sold]]+5</f>
        <v>15</v>
      </c>
      <c r="E555" s="20">
        <v>6.6630000000000003</v>
      </c>
    </row>
    <row r="556" spans="1:5" x14ac:dyDescent="0.35">
      <c r="A556" s="6">
        <f t="shared" si="8"/>
        <v>1554</v>
      </c>
      <c r="B556" s="1" t="s">
        <v>2</v>
      </c>
      <c r="C556" s="20">
        <v>19.32</v>
      </c>
      <c r="D556" s="1">
        <f>Table4[[#This Row],[Quantity sold]]+5</f>
        <v>11</v>
      </c>
      <c r="E556" s="20">
        <v>6.7619999999999996</v>
      </c>
    </row>
    <row r="557" spans="1:5" x14ac:dyDescent="0.35">
      <c r="A557" s="6">
        <f t="shared" si="8"/>
        <v>1555</v>
      </c>
      <c r="B557" s="1" t="s">
        <v>3</v>
      </c>
      <c r="C557" s="20">
        <v>37.479999999999997</v>
      </c>
      <c r="D557" s="1">
        <f>Table4[[#This Row],[Quantity sold]]+5</f>
        <v>11</v>
      </c>
      <c r="E557" s="20">
        <v>5.6219999999999999</v>
      </c>
    </row>
    <row r="558" spans="1:5" x14ac:dyDescent="0.35">
      <c r="A558" s="6">
        <f t="shared" si="8"/>
        <v>1556</v>
      </c>
      <c r="B558" s="1" t="s">
        <v>6</v>
      </c>
      <c r="C558" s="20">
        <v>72.040000000000006</v>
      </c>
      <c r="D558" s="1">
        <f>Table4[[#This Row],[Quantity sold]]+5</f>
        <v>6</v>
      </c>
      <c r="E558" s="20">
        <v>7.2039999999999997</v>
      </c>
    </row>
    <row r="559" spans="1:5" x14ac:dyDescent="0.35">
      <c r="A559" s="6">
        <f t="shared" si="8"/>
        <v>1557</v>
      </c>
      <c r="B559" s="1" t="s">
        <v>5</v>
      </c>
      <c r="C559" s="20">
        <v>98.52</v>
      </c>
      <c r="D559" s="1">
        <f>Table4[[#This Row],[Quantity sold]]+5</f>
        <v>12</v>
      </c>
      <c r="E559" s="20">
        <v>49.26</v>
      </c>
    </row>
    <row r="560" spans="1:5" x14ac:dyDescent="0.35">
      <c r="A560" s="6">
        <f t="shared" si="8"/>
        <v>1558</v>
      </c>
      <c r="B560" s="1" t="s">
        <v>5</v>
      </c>
      <c r="C560" s="20">
        <v>41.66</v>
      </c>
      <c r="D560" s="1">
        <f>Table4[[#This Row],[Quantity sold]]+5</f>
        <v>14</v>
      </c>
      <c r="E560" s="20">
        <v>12.497999999999999</v>
      </c>
    </row>
    <row r="561" spans="1:5" x14ac:dyDescent="0.35">
      <c r="A561" s="6">
        <f t="shared" si="8"/>
        <v>1559</v>
      </c>
      <c r="B561" s="1" t="s">
        <v>3</v>
      </c>
      <c r="C561" s="20">
        <v>72.42</v>
      </c>
      <c r="D561" s="1">
        <f>Table4[[#This Row],[Quantity sold]]+5</f>
        <v>6</v>
      </c>
      <c r="E561" s="20">
        <v>10.863</v>
      </c>
    </row>
    <row r="562" spans="1:5" x14ac:dyDescent="0.35">
      <c r="A562" s="6">
        <f t="shared" si="8"/>
        <v>1560</v>
      </c>
      <c r="B562" s="1" t="s">
        <v>2</v>
      </c>
      <c r="C562" s="20">
        <v>21.58</v>
      </c>
      <c r="D562" s="1">
        <f>Table4[[#This Row],[Quantity sold]]+5</f>
        <v>11</v>
      </c>
      <c r="E562" s="20">
        <v>9.7110000000000003</v>
      </c>
    </row>
    <row r="563" spans="1:5" x14ac:dyDescent="0.35">
      <c r="A563" s="6">
        <f t="shared" si="8"/>
        <v>1561</v>
      </c>
      <c r="B563" s="1" t="s">
        <v>5</v>
      </c>
      <c r="C563" s="20">
        <v>89.2</v>
      </c>
      <c r="D563" s="1">
        <f>Table4[[#This Row],[Quantity sold]]+5</f>
        <v>6</v>
      </c>
      <c r="E563" s="20">
        <v>44.6</v>
      </c>
    </row>
    <row r="564" spans="1:5" x14ac:dyDescent="0.35">
      <c r="A564" s="6">
        <f t="shared" si="8"/>
        <v>1562</v>
      </c>
      <c r="B564" s="1" t="s">
        <v>2</v>
      </c>
      <c r="C564" s="20">
        <v>42.42</v>
      </c>
      <c r="D564" s="1">
        <f>Table4[[#This Row],[Quantity sold]]+5</f>
        <v>7</v>
      </c>
      <c r="E564" s="20">
        <v>16.968</v>
      </c>
    </row>
    <row r="565" spans="1:5" x14ac:dyDescent="0.35">
      <c r="A565" s="6">
        <f t="shared" si="8"/>
        <v>1563</v>
      </c>
      <c r="B565" s="1" t="s">
        <v>2</v>
      </c>
      <c r="C565" s="20">
        <v>74.510000000000005</v>
      </c>
      <c r="D565" s="1">
        <f>Table4[[#This Row],[Quantity sold]]+5</f>
        <v>8</v>
      </c>
      <c r="E565" s="20">
        <v>22.353000000000002</v>
      </c>
    </row>
    <row r="566" spans="1:5" x14ac:dyDescent="0.35">
      <c r="A566" s="6">
        <f t="shared" si="8"/>
        <v>1564</v>
      </c>
      <c r="B566" s="1" t="s">
        <v>6</v>
      </c>
      <c r="C566" s="20">
        <v>99.25</v>
      </c>
      <c r="D566" s="1">
        <f>Table4[[#This Row],[Quantity sold]]+5</f>
        <v>12</v>
      </c>
      <c r="E566" s="20">
        <v>9.9250000000000007</v>
      </c>
    </row>
    <row r="567" spans="1:5" x14ac:dyDescent="0.35">
      <c r="A567" s="6">
        <f t="shared" si="8"/>
        <v>1565</v>
      </c>
      <c r="B567" s="1" t="s">
        <v>5</v>
      </c>
      <c r="C567" s="20">
        <v>81.209999999999994</v>
      </c>
      <c r="D567" s="1">
        <f>Table4[[#This Row],[Quantity sold]]+5</f>
        <v>10</v>
      </c>
      <c r="E567" s="20">
        <v>40.604999999999997</v>
      </c>
    </row>
    <row r="568" spans="1:5" x14ac:dyDescent="0.35">
      <c r="A568" s="6">
        <f t="shared" si="8"/>
        <v>1566</v>
      </c>
      <c r="B568" s="1" t="s">
        <v>4</v>
      </c>
      <c r="C568" s="20">
        <v>49.33</v>
      </c>
      <c r="D568" s="1">
        <f>Table4[[#This Row],[Quantity sold]]+5</f>
        <v>9</v>
      </c>
      <c r="E568" s="20">
        <v>24.664999999999999</v>
      </c>
    </row>
    <row r="569" spans="1:5" x14ac:dyDescent="0.35">
      <c r="A569" s="6">
        <f t="shared" si="8"/>
        <v>1567</v>
      </c>
      <c r="B569" s="1" t="s">
        <v>6</v>
      </c>
      <c r="C569" s="20">
        <v>65.739999999999995</v>
      </c>
      <c r="D569" s="1">
        <f>Table4[[#This Row],[Quantity sold]]+5</f>
        <v>15</v>
      </c>
      <c r="E569" s="20">
        <v>29.582999999999998</v>
      </c>
    </row>
    <row r="570" spans="1:5" x14ac:dyDescent="0.35">
      <c r="A570" s="6">
        <f t="shared" si="8"/>
        <v>1568</v>
      </c>
      <c r="B570" s="1" t="s">
        <v>6</v>
      </c>
      <c r="C570" s="20">
        <v>79.86</v>
      </c>
      <c r="D570" s="1">
        <f>Table4[[#This Row],[Quantity sold]]+5</f>
        <v>12</v>
      </c>
      <c r="E570" s="20">
        <v>27.951000000000001</v>
      </c>
    </row>
    <row r="571" spans="1:5" x14ac:dyDescent="0.35">
      <c r="A571" s="6">
        <f t="shared" si="8"/>
        <v>1569</v>
      </c>
      <c r="B571" s="1" t="s">
        <v>4</v>
      </c>
      <c r="C571" s="20">
        <v>73.98</v>
      </c>
      <c r="D571" s="1">
        <f>Table4[[#This Row],[Quantity sold]]+5</f>
        <v>12</v>
      </c>
      <c r="E571" s="20">
        <v>25.893000000000001</v>
      </c>
    </row>
    <row r="572" spans="1:5" x14ac:dyDescent="0.35">
      <c r="A572" s="6">
        <f t="shared" si="8"/>
        <v>1570</v>
      </c>
      <c r="B572" s="1" t="s">
        <v>3</v>
      </c>
      <c r="C572" s="20">
        <v>82.04</v>
      </c>
      <c r="D572" s="1">
        <f>Table4[[#This Row],[Quantity sold]]+5</f>
        <v>15</v>
      </c>
      <c r="E572" s="20">
        <v>20.51</v>
      </c>
    </row>
    <row r="573" spans="1:5" x14ac:dyDescent="0.35">
      <c r="A573" s="6">
        <f t="shared" si="8"/>
        <v>1571</v>
      </c>
      <c r="B573" s="1" t="s">
        <v>4</v>
      </c>
      <c r="C573" s="20">
        <v>26.67</v>
      </c>
      <c r="D573" s="1">
        <f>Table4[[#This Row],[Quantity sold]]+5</f>
        <v>11</v>
      </c>
      <c r="E573" s="20">
        <v>13.335000000000001</v>
      </c>
    </row>
    <row r="574" spans="1:5" x14ac:dyDescent="0.35">
      <c r="A574" s="6">
        <f t="shared" si="8"/>
        <v>1572</v>
      </c>
      <c r="B574" s="1" t="s">
        <v>5</v>
      </c>
      <c r="C574" s="20">
        <v>10.130000000000001</v>
      </c>
      <c r="D574" s="1">
        <f>Table4[[#This Row],[Quantity sold]]+5</f>
        <v>8</v>
      </c>
      <c r="E574" s="20">
        <v>3.5455000000000001</v>
      </c>
    </row>
    <row r="575" spans="1:5" x14ac:dyDescent="0.35">
      <c r="A575" s="6">
        <f t="shared" si="8"/>
        <v>1573</v>
      </c>
      <c r="B575" s="1" t="s">
        <v>5</v>
      </c>
      <c r="C575" s="20">
        <v>72.39</v>
      </c>
      <c r="D575" s="1">
        <f>Table4[[#This Row],[Quantity sold]]+5</f>
        <v>11</v>
      </c>
      <c r="E575" s="20">
        <v>7.2389999999999999</v>
      </c>
    </row>
    <row r="576" spans="1:5" x14ac:dyDescent="0.35">
      <c r="A576" s="6">
        <f t="shared" si="8"/>
        <v>1574</v>
      </c>
      <c r="B576" s="1" t="s">
        <v>4</v>
      </c>
      <c r="C576" s="20">
        <v>85.91</v>
      </c>
      <c r="D576" s="1">
        <f>Table4[[#This Row],[Quantity sold]]+5</f>
        <v>8</v>
      </c>
      <c r="E576" s="20">
        <v>21.477499999999999</v>
      </c>
    </row>
    <row r="577" spans="1:5" x14ac:dyDescent="0.35">
      <c r="A577" s="6">
        <f t="shared" si="8"/>
        <v>1575</v>
      </c>
      <c r="B577" s="1" t="s">
        <v>6</v>
      </c>
      <c r="C577" s="20">
        <v>81.31</v>
      </c>
      <c r="D577" s="1">
        <f>Table4[[#This Row],[Quantity sold]]+5</f>
        <v>13</v>
      </c>
      <c r="E577" s="20">
        <v>28.458500000000001</v>
      </c>
    </row>
    <row r="578" spans="1:5" x14ac:dyDescent="0.35">
      <c r="A578" s="6">
        <f t="shared" si="8"/>
        <v>1576</v>
      </c>
      <c r="B578" s="1" t="s">
        <v>5</v>
      </c>
      <c r="C578" s="20">
        <v>60.3</v>
      </c>
      <c r="D578" s="1">
        <f>Table4[[#This Row],[Quantity sold]]+5</f>
        <v>11</v>
      </c>
      <c r="E578" s="20">
        <v>12.06</v>
      </c>
    </row>
    <row r="579" spans="1:5" x14ac:dyDescent="0.35">
      <c r="A579" s="6">
        <f t="shared" si="8"/>
        <v>1577</v>
      </c>
      <c r="B579" s="1" t="s">
        <v>5</v>
      </c>
      <c r="C579" s="20">
        <v>31.77</v>
      </c>
      <c r="D579" s="1">
        <f>Table4[[#This Row],[Quantity sold]]+5</f>
        <v>8</v>
      </c>
      <c r="E579" s="20">
        <v>6.3540000000000001</v>
      </c>
    </row>
    <row r="580" spans="1:5" x14ac:dyDescent="0.35">
      <c r="A580" s="6">
        <f t="shared" si="8"/>
        <v>1578</v>
      </c>
      <c r="B580" s="1" t="s">
        <v>1</v>
      </c>
      <c r="C580" s="20">
        <v>64.27</v>
      </c>
      <c r="D580" s="1">
        <f>Table4[[#This Row],[Quantity sold]]+5</f>
        <v>12</v>
      </c>
      <c r="E580" s="20">
        <v>12.853999999999999</v>
      </c>
    </row>
    <row r="581" spans="1:5" x14ac:dyDescent="0.35">
      <c r="A581" s="6">
        <f t="shared" ref="A581:A644" si="9">A580+1</f>
        <v>1579</v>
      </c>
      <c r="B581" s="1" t="s">
        <v>1</v>
      </c>
      <c r="C581" s="20">
        <v>69.510000000000005</v>
      </c>
      <c r="D581" s="1">
        <f>Table4[[#This Row],[Quantity sold]]+5</f>
        <v>10</v>
      </c>
      <c r="E581" s="20">
        <v>6.9509999999999996</v>
      </c>
    </row>
    <row r="582" spans="1:5" x14ac:dyDescent="0.35">
      <c r="A582" s="6">
        <f t="shared" si="9"/>
        <v>1580</v>
      </c>
      <c r="B582" s="1" t="s">
        <v>5</v>
      </c>
      <c r="C582" s="20">
        <v>27.22</v>
      </c>
      <c r="D582" s="1">
        <f>Table4[[#This Row],[Quantity sold]]+5</f>
        <v>6</v>
      </c>
      <c r="E582" s="20">
        <v>4.0830000000000002</v>
      </c>
    </row>
    <row r="583" spans="1:5" x14ac:dyDescent="0.35">
      <c r="A583" s="6">
        <f t="shared" si="9"/>
        <v>1581</v>
      </c>
      <c r="B583" s="1" t="s">
        <v>1</v>
      </c>
      <c r="C583" s="20">
        <v>77.680000000000007</v>
      </c>
      <c r="D583" s="1">
        <f>Table4[[#This Row],[Quantity sold]]+5</f>
        <v>10</v>
      </c>
      <c r="E583" s="20">
        <v>15.536</v>
      </c>
    </row>
    <row r="584" spans="1:5" x14ac:dyDescent="0.35">
      <c r="A584" s="6">
        <f t="shared" si="9"/>
        <v>1582</v>
      </c>
      <c r="B584" s="1" t="s">
        <v>6</v>
      </c>
      <c r="C584" s="20">
        <v>92.98</v>
      </c>
      <c r="D584" s="1">
        <f>Table4[[#This Row],[Quantity sold]]+5</f>
        <v>7</v>
      </c>
      <c r="E584" s="20">
        <v>9.298</v>
      </c>
    </row>
    <row r="585" spans="1:5" x14ac:dyDescent="0.35">
      <c r="A585" s="6">
        <f t="shared" si="9"/>
        <v>1583</v>
      </c>
      <c r="B585" s="1" t="s">
        <v>6</v>
      </c>
      <c r="C585" s="20">
        <v>18.079999999999998</v>
      </c>
      <c r="D585" s="1">
        <f>Table4[[#This Row],[Quantity sold]]+5</f>
        <v>9</v>
      </c>
      <c r="E585" s="20">
        <v>3.6160000000000001</v>
      </c>
    </row>
    <row r="586" spans="1:5" x14ac:dyDescent="0.35">
      <c r="A586" s="6">
        <f t="shared" si="9"/>
        <v>1584</v>
      </c>
      <c r="B586" s="1" t="s">
        <v>4</v>
      </c>
      <c r="C586" s="20">
        <v>63.06</v>
      </c>
      <c r="D586" s="1">
        <f>Table4[[#This Row],[Quantity sold]]+5</f>
        <v>11</v>
      </c>
      <c r="E586" s="20">
        <v>9.4589999999999996</v>
      </c>
    </row>
    <row r="587" spans="1:5" x14ac:dyDescent="0.35">
      <c r="A587" s="6">
        <f t="shared" si="9"/>
        <v>1585</v>
      </c>
      <c r="B587" s="1" t="s">
        <v>1</v>
      </c>
      <c r="C587" s="20">
        <v>51.71</v>
      </c>
      <c r="D587" s="1">
        <f>Table4[[#This Row],[Quantity sold]]+5</f>
        <v>9</v>
      </c>
      <c r="E587" s="20">
        <v>10.342000000000001</v>
      </c>
    </row>
    <row r="588" spans="1:5" x14ac:dyDescent="0.35">
      <c r="A588" s="6">
        <f t="shared" si="9"/>
        <v>1586</v>
      </c>
      <c r="B588" s="1" t="s">
        <v>5</v>
      </c>
      <c r="C588" s="20">
        <v>52.34</v>
      </c>
      <c r="D588" s="1">
        <f>Table4[[#This Row],[Quantity sold]]+5</f>
        <v>7</v>
      </c>
      <c r="E588" s="20">
        <v>7.851</v>
      </c>
    </row>
    <row r="589" spans="1:5" x14ac:dyDescent="0.35">
      <c r="A589" s="6">
        <f t="shared" si="9"/>
        <v>1587</v>
      </c>
      <c r="B589" s="1" t="s">
        <v>4</v>
      </c>
      <c r="C589" s="20">
        <v>43.06</v>
      </c>
      <c r="D589" s="1">
        <f>Table4[[#This Row],[Quantity sold]]+5</f>
        <v>6</v>
      </c>
      <c r="E589" s="20">
        <v>10.765000000000001</v>
      </c>
    </row>
    <row r="590" spans="1:5" x14ac:dyDescent="0.35">
      <c r="A590" s="6">
        <f t="shared" si="9"/>
        <v>1588</v>
      </c>
      <c r="B590" s="1" t="s">
        <v>6</v>
      </c>
      <c r="C590" s="20">
        <v>59.61</v>
      </c>
      <c r="D590" s="1">
        <f>Table4[[#This Row],[Quantity sold]]+5</f>
        <v>11</v>
      </c>
      <c r="E590" s="20">
        <v>29.805</v>
      </c>
    </row>
    <row r="591" spans="1:5" x14ac:dyDescent="0.35">
      <c r="A591" s="6">
        <f t="shared" si="9"/>
        <v>1589</v>
      </c>
      <c r="B591" s="1" t="s">
        <v>1</v>
      </c>
      <c r="C591" s="20">
        <v>14.62</v>
      </c>
      <c r="D591" s="1">
        <f>Table4[[#This Row],[Quantity sold]]+5</f>
        <v>14</v>
      </c>
      <c r="E591" s="20">
        <v>3.6549999999999998</v>
      </c>
    </row>
    <row r="592" spans="1:5" x14ac:dyDescent="0.35">
      <c r="A592" s="6">
        <f t="shared" si="9"/>
        <v>1590</v>
      </c>
      <c r="B592" s="1" t="s">
        <v>1</v>
      </c>
      <c r="C592" s="20">
        <v>46.53</v>
      </c>
      <c r="D592" s="1">
        <f>Table4[[#This Row],[Quantity sold]]+5</f>
        <v>9</v>
      </c>
      <c r="E592" s="20">
        <v>13.959</v>
      </c>
    </row>
    <row r="593" spans="1:5" x14ac:dyDescent="0.35">
      <c r="A593" s="6">
        <f t="shared" si="9"/>
        <v>1591</v>
      </c>
      <c r="B593" s="1" t="s">
        <v>3</v>
      </c>
      <c r="C593" s="20">
        <v>24.24</v>
      </c>
      <c r="D593" s="1">
        <f>Table4[[#This Row],[Quantity sold]]+5</f>
        <v>12</v>
      </c>
      <c r="E593" s="20">
        <v>8.484</v>
      </c>
    </row>
    <row r="594" spans="1:5" x14ac:dyDescent="0.35">
      <c r="A594" s="6">
        <f t="shared" si="9"/>
        <v>1592</v>
      </c>
      <c r="B594" s="1" t="s">
        <v>4</v>
      </c>
      <c r="C594" s="20">
        <v>45.58</v>
      </c>
      <c r="D594" s="1">
        <f>Table4[[#This Row],[Quantity sold]]+5</f>
        <v>13</v>
      </c>
      <c r="E594" s="20">
        <v>2.2789999999999999</v>
      </c>
    </row>
    <row r="595" spans="1:5" x14ac:dyDescent="0.35">
      <c r="A595" s="6">
        <f t="shared" si="9"/>
        <v>1593</v>
      </c>
      <c r="B595" s="1" t="s">
        <v>4</v>
      </c>
      <c r="C595" s="20">
        <v>75.2</v>
      </c>
      <c r="D595" s="1">
        <f>Table4[[#This Row],[Quantity sold]]+5</f>
        <v>11</v>
      </c>
      <c r="E595" s="20">
        <v>11.28</v>
      </c>
    </row>
    <row r="596" spans="1:5" x14ac:dyDescent="0.35">
      <c r="A596" s="6">
        <f t="shared" si="9"/>
        <v>1594</v>
      </c>
      <c r="B596" s="1" t="s">
        <v>4</v>
      </c>
      <c r="C596" s="20">
        <v>96.8</v>
      </c>
      <c r="D596" s="1">
        <f>Table4[[#This Row],[Quantity sold]]+5</f>
        <v>14</v>
      </c>
      <c r="E596" s="20">
        <v>14.52</v>
      </c>
    </row>
    <row r="597" spans="1:5" x14ac:dyDescent="0.35">
      <c r="A597" s="6">
        <f t="shared" si="9"/>
        <v>1595</v>
      </c>
      <c r="B597" s="1" t="s">
        <v>1</v>
      </c>
      <c r="C597" s="20">
        <v>14.82</v>
      </c>
      <c r="D597" s="1">
        <f>Table4[[#This Row],[Quantity sold]]+5</f>
        <v>7</v>
      </c>
      <c r="E597" s="20">
        <v>2.2229999999999999</v>
      </c>
    </row>
    <row r="598" spans="1:5" x14ac:dyDescent="0.35">
      <c r="A598" s="6">
        <f t="shared" si="9"/>
        <v>1596</v>
      </c>
      <c r="B598" s="1" t="s">
        <v>5</v>
      </c>
      <c r="C598" s="20">
        <v>52.2</v>
      </c>
      <c r="D598" s="1">
        <f>Table4[[#This Row],[Quantity sold]]+5</f>
        <v>9</v>
      </c>
      <c r="E598" s="20">
        <v>7.83</v>
      </c>
    </row>
    <row r="599" spans="1:5" x14ac:dyDescent="0.35">
      <c r="A599" s="6">
        <f t="shared" si="9"/>
        <v>1597</v>
      </c>
      <c r="B599" s="1" t="s">
        <v>4</v>
      </c>
      <c r="C599" s="20">
        <v>46.66</v>
      </c>
      <c r="D599" s="1">
        <f>Table4[[#This Row],[Quantity sold]]+5</f>
        <v>9</v>
      </c>
      <c r="E599" s="20">
        <v>20.997</v>
      </c>
    </row>
    <row r="600" spans="1:5" x14ac:dyDescent="0.35">
      <c r="A600" s="6">
        <f t="shared" si="9"/>
        <v>1598</v>
      </c>
      <c r="B600" s="1" t="s">
        <v>6</v>
      </c>
      <c r="C600" s="20">
        <v>36.85</v>
      </c>
      <c r="D600" s="1">
        <f>Table4[[#This Row],[Quantity sold]]+5</f>
        <v>8</v>
      </c>
      <c r="E600" s="20">
        <v>9.2125000000000004</v>
      </c>
    </row>
    <row r="601" spans="1:5" x14ac:dyDescent="0.35">
      <c r="A601" s="6">
        <f t="shared" si="9"/>
        <v>1599</v>
      </c>
      <c r="B601" s="1" t="s">
        <v>3</v>
      </c>
      <c r="C601" s="20">
        <v>70.319999999999993</v>
      </c>
      <c r="D601" s="1">
        <f>Table4[[#This Row],[Quantity sold]]+5</f>
        <v>14</v>
      </c>
      <c r="E601" s="20">
        <v>7.032</v>
      </c>
    </row>
    <row r="602" spans="1:5" x14ac:dyDescent="0.35">
      <c r="A602" s="6">
        <f t="shared" si="9"/>
        <v>1600</v>
      </c>
      <c r="B602" s="1" t="s">
        <v>2</v>
      </c>
      <c r="C602" s="20">
        <v>83.08</v>
      </c>
      <c r="D602" s="1">
        <f>Table4[[#This Row],[Quantity sold]]+5</f>
        <v>7</v>
      </c>
      <c r="E602" s="20">
        <v>4.1539999999999999</v>
      </c>
    </row>
    <row r="603" spans="1:5" x14ac:dyDescent="0.35">
      <c r="A603" s="6">
        <f t="shared" si="9"/>
        <v>1601</v>
      </c>
      <c r="B603" s="1" t="s">
        <v>6</v>
      </c>
      <c r="C603" s="20">
        <v>64.989999999999995</v>
      </c>
      <c r="D603" s="1">
        <f>Table4[[#This Row],[Quantity sold]]+5</f>
        <v>9</v>
      </c>
      <c r="E603" s="20">
        <v>3.2494999999999998</v>
      </c>
    </row>
    <row r="604" spans="1:5" x14ac:dyDescent="0.35">
      <c r="A604" s="6">
        <f t="shared" si="9"/>
        <v>1602</v>
      </c>
      <c r="B604" s="1" t="s">
        <v>5</v>
      </c>
      <c r="C604" s="20">
        <v>77.56</v>
      </c>
      <c r="D604" s="1">
        <f>Table4[[#This Row],[Quantity sold]]+5</f>
        <v>9</v>
      </c>
      <c r="E604" s="20">
        <v>38.78</v>
      </c>
    </row>
    <row r="605" spans="1:5" x14ac:dyDescent="0.35">
      <c r="A605" s="6">
        <f t="shared" si="9"/>
        <v>1603</v>
      </c>
      <c r="B605" s="1" t="s">
        <v>4</v>
      </c>
      <c r="C605" s="20">
        <v>54.51</v>
      </c>
      <c r="D605" s="1">
        <f>Table4[[#This Row],[Quantity sold]]+5</f>
        <v>10</v>
      </c>
      <c r="E605" s="20">
        <v>16.353000000000002</v>
      </c>
    </row>
    <row r="606" spans="1:5" x14ac:dyDescent="0.35">
      <c r="A606" s="6">
        <f t="shared" si="9"/>
        <v>1604</v>
      </c>
      <c r="B606" s="1" t="s">
        <v>6</v>
      </c>
      <c r="C606" s="20">
        <v>51.89</v>
      </c>
      <c r="D606" s="1">
        <f>Table4[[#This Row],[Quantity sold]]+5</f>
        <v>10</v>
      </c>
      <c r="E606" s="20">
        <v>18.1615</v>
      </c>
    </row>
    <row r="607" spans="1:5" x14ac:dyDescent="0.35">
      <c r="A607" s="6">
        <f t="shared" si="9"/>
        <v>1605</v>
      </c>
      <c r="B607" s="1" t="s">
        <v>3</v>
      </c>
      <c r="C607" s="20">
        <v>31.75</v>
      </c>
      <c r="D607" s="1">
        <f>Table4[[#This Row],[Quantity sold]]+5</f>
        <v>11</v>
      </c>
      <c r="E607" s="20">
        <v>6.35</v>
      </c>
    </row>
    <row r="608" spans="1:5" x14ac:dyDescent="0.35">
      <c r="A608" s="6">
        <f t="shared" si="9"/>
        <v>1606</v>
      </c>
      <c r="B608" s="1" t="s">
        <v>6</v>
      </c>
      <c r="C608" s="20">
        <v>53.65</v>
      </c>
      <c r="D608" s="1">
        <f>Table4[[#This Row],[Quantity sold]]+5</f>
        <v>15</v>
      </c>
      <c r="E608" s="20">
        <v>18.7775</v>
      </c>
    </row>
    <row r="609" spans="1:5" x14ac:dyDescent="0.35">
      <c r="A609" s="6">
        <f t="shared" si="9"/>
        <v>1607</v>
      </c>
      <c r="B609" s="1" t="s">
        <v>5</v>
      </c>
      <c r="C609" s="20">
        <v>49.79</v>
      </c>
      <c r="D609" s="1">
        <f>Table4[[#This Row],[Quantity sold]]+5</f>
        <v>8</v>
      </c>
      <c r="E609" s="20">
        <v>9.9580000000000002</v>
      </c>
    </row>
    <row r="610" spans="1:5" x14ac:dyDescent="0.35">
      <c r="A610" s="6">
        <f t="shared" si="9"/>
        <v>1608</v>
      </c>
      <c r="B610" s="1" t="s">
        <v>6</v>
      </c>
      <c r="C610" s="20">
        <v>30.61</v>
      </c>
      <c r="D610" s="1">
        <f>Table4[[#This Row],[Quantity sold]]+5</f>
        <v>6</v>
      </c>
      <c r="E610" s="20">
        <v>1.5305</v>
      </c>
    </row>
    <row r="611" spans="1:5" x14ac:dyDescent="0.35">
      <c r="A611" s="6">
        <f t="shared" si="9"/>
        <v>1609</v>
      </c>
      <c r="B611" s="1" t="s">
        <v>5</v>
      </c>
      <c r="C611" s="20">
        <v>57.89</v>
      </c>
      <c r="D611" s="1">
        <f>Table4[[#This Row],[Quantity sold]]+5</f>
        <v>8</v>
      </c>
      <c r="E611" s="20">
        <v>5.7889999999999997</v>
      </c>
    </row>
    <row r="612" spans="1:5" x14ac:dyDescent="0.35">
      <c r="A612" s="6">
        <f t="shared" si="9"/>
        <v>1610</v>
      </c>
      <c r="B612" s="1" t="s">
        <v>2</v>
      </c>
      <c r="C612" s="20">
        <v>28.96</v>
      </c>
      <c r="D612" s="1">
        <f>Table4[[#This Row],[Quantity sold]]+5</f>
        <v>15</v>
      </c>
      <c r="E612" s="20">
        <v>1.448</v>
      </c>
    </row>
    <row r="613" spans="1:5" x14ac:dyDescent="0.35">
      <c r="A613" s="6">
        <f t="shared" si="9"/>
        <v>1611</v>
      </c>
      <c r="B613" s="1" t="s">
        <v>5</v>
      </c>
      <c r="C613" s="20">
        <v>98.97</v>
      </c>
      <c r="D613" s="1">
        <f>Table4[[#This Row],[Quantity sold]]+5</f>
        <v>8</v>
      </c>
      <c r="E613" s="20">
        <v>44.536499999999997</v>
      </c>
    </row>
    <row r="614" spans="1:5" x14ac:dyDescent="0.35">
      <c r="A614" s="6">
        <f t="shared" si="9"/>
        <v>1612</v>
      </c>
      <c r="B614" s="1" t="s">
        <v>6</v>
      </c>
      <c r="C614" s="20">
        <v>93.22</v>
      </c>
      <c r="D614" s="1">
        <f>Table4[[#This Row],[Quantity sold]]+5</f>
        <v>12</v>
      </c>
      <c r="E614" s="20">
        <v>13.983000000000001</v>
      </c>
    </row>
    <row r="615" spans="1:5" x14ac:dyDescent="0.35">
      <c r="A615" s="6">
        <f t="shared" si="9"/>
        <v>1613</v>
      </c>
      <c r="B615" s="1" t="s">
        <v>4</v>
      </c>
      <c r="C615" s="20">
        <v>80.930000000000007</v>
      </c>
      <c r="D615" s="1">
        <f>Table4[[#This Row],[Quantity sold]]+5</f>
        <v>10</v>
      </c>
      <c r="E615" s="20">
        <v>4.0465</v>
      </c>
    </row>
    <row r="616" spans="1:5" x14ac:dyDescent="0.35">
      <c r="A616" s="6">
        <f t="shared" si="9"/>
        <v>1614</v>
      </c>
      <c r="B616" s="1" t="s">
        <v>5</v>
      </c>
      <c r="C616" s="20">
        <v>67.45</v>
      </c>
      <c r="D616" s="1">
        <f>Table4[[#This Row],[Quantity sold]]+5</f>
        <v>14</v>
      </c>
      <c r="E616" s="20">
        <v>33.725000000000001</v>
      </c>
    </row>
    <row r="617" spans="1:5" x14ac:dyDescent="0.35">
      <c r="A617" s="6">
        <f t="shared" si="9"/>
        <v>1615</v>
      </c>
      <c r="B617" s="1" t="s">
        <v>4</v>
      </c>
      <c r="C617" s="20">
        <v>38.72</v>
      </c>
      <c r="D617" s="1">
        <f>Table4[[#This Row],[Quantity sold]]+5</f>
        <v>15</v>
      </c>
      <c r="E617" s="20">
        <v>17.423999999999999</v>
      </c>
    </row>
    <row r="618" spans="1:5" x14ac:dyDescent="0.35">
      <c r="A618" s="6">
        <f t="shared" si="9"/>
        <v>1616</v>
      </c>
      <c r="B618" s="1" t="s">
        <v>4</v>
      </c>
      <c r="C618" s="20">
        <v>72.599999999999994</v>
      </c>
      <c r="D618" s="1">
        <f>Table4[[#This Row],[Quantity sold]]+5</f>
        <v>8</v>
      </c>
      <c r="E618" s="20">
        <v>21.78</v>
      </c>
    </row>
    <row r="619" spans="1:5" x14ac:dyDescent="0.35">
      <c r="A619" s="6">
        <f t="shared" si="9"/>
        <v>1617</v>
      </c>
      <c r="B619" s="1" t="s">
        <v>2</v>
      </c>
      <c r="C619" s="20">
        <v>87.91</v>
      </c>
      <c r="D619" s="1">
        <f>Table4[[#This Row],[Quantity sold]]+5</f>
        <v>11</v>
      </c>
      <c r="E619" s="20">
        <v>21.977499999999999</v>
      </c>
    </row>
    <row r="620" spans="1:5" x14ac:dyDescent="0.35">
      <c r="A620" s="6">
        <f t="shared" si="9"/>
        <v>1618</v>
      </c>
      <c r="B620" s="1" t="s">
        <v>5</v>
      </c>
      <c r="C620" s="20">
        <v>98.53</v>
      </c>
      <c r="D620" s="1">
        <f>Table4[[#This Row],[Quantity sold]]+5</f>
        <v>6</v>
      </c>
      <c r="E620" s="20">
        <v>29.559000000000001</v>
      </c>
    </row>
    <row r="621" spans="1:5" x14ac:dyDescent="0.35">
      <c r="A621" s="6">
        <f t="shared" si="9"/>
        <v>1619</v>
      </c>
      <c r="B621" s="1" t="s">
        <v>6</v>
      </c>
      <c r="C621" s="20">
        <v>43.46</v>
      </c>
      <c r="D621" s="1">
        <f>Table4[[#This Row],[Quantity sold]]+5</f>
        <v>8</v>
      </c>
      <c r="E621" s="20">
        <v>13.038</v>
      </c>
    </row>
    <row r="622" spans="1:5" x14ac:dyDescent="0.35">
      <c r="A622" s="6">
        <f t="shared" si="9"/>
        <v>1620</v>
      </c>
      <c r="B622" s="1" t="s">
        <v>5</v>
      </c>
      <c r="C622" s="20">
        <v>71.680000000000007</v>
      </c>
      <c r="D622" s="1">
        <f>Table4[[#This Row],[Quantity sold]]+5</f>
        <v>15</v>
      </c>
      <c r="E622" s="20">
        <v>10.752000000000001</v>
      </c>
    </row>
    <row r="623" spans="1:5" x14ac:dyDescent="0.35">
      <c r="A623" s="6">
        <f t="shared" si="9"/>
        <v>1621</v>
      </c>
      <c r="B623" s="1" t="s">
        <v>5</v>
      </c>
      <c r="C623" s="20">
        <v>91.61</v>
      </c>
      <c r="D623" s="1">
        <f>Table4[[#This Row],[Quantity sold]]+5</f>
        <v>10</v>
      </c>
      <c r="E623" s="20">
        <v>4.5804999999999998</v>
      </c>
    </row>
    <row r="624" spans="1:5" x14ac:dyDescent="0.35">
      <c r="A624" s="6">
        <f t="shared" si="9"/>
        <v>1622</v>
      </c>
      <c r="B624" s="1" t="s">
        <v>3</v>
      </c>
      <c r="C624" s="20">
        <v>94.59</v>
      </c>
      <c r="D624" s="1">
        <f>Table4[[#This Row],[Quantity sold]]+5</f>
        <v>7</v>
      </c>
      <c r="E624" s="20">
        <v>33.106499999999997</v>
      </c>
    </row>
    <row r="625" spans="1:5" x14ac:dyDescent="0.35">
      <c r="A625" s="6">
        <f t="shared" si="9"/>
        <v>1623</v>
      </c>
      <c r="B625" s="1" t="s">
        <v>6</v>
      </c>
      <c r="C625" s="20">
        <v>83.25</v>
      </c>
      <c r="D625" s="1">
        <f>Table4[[#This Row],[Quantity sold]]+5</f>
        <v>14</v>
      </c>
      <c r="E625" s="20">
        <v>41.625</v>
      </c>
    </row>
    <row r="626" spans="1:5" x14ac:dyDescent="0.35">
      <c r="A626" s="6">
        <f t="shared" si="9"/>
        <v>1624</v>
      </c>
      <c r="B626" s="1" t="s">
        <v>6</v>
      </c>
      <c r="C626" s="20">
        <v>91.35</v>
      </c>
      <c r="D626" s="1">
        <f>Table4[[#This Row],[Quantity sold]]+5</f>
        <v>6</v>
      </c>
      <c r="E626" s="20">
        <v>4.5674999999999999</v>
      </c>
    </row>
    <row r="627" spans="1:5" x14ac:dyDescent="0.35">
      <c r="A627" s="6">
        <f t="shared" si="9"/>
        <v>1625</v>
      </c>
      <c r="B627" s="1" t="s">
        <v>5</v>
      </c>
      <c r="C627" s="20">
        <v>78.88</v>
      </c>
      <c r="D627" s="1">
        <f>Table4[[#This Row],[Quantity sold]]+5</f>
        <v>9</v>
      </c>
      <c r="E627" s="20">
        <v>7.8879999999999999</v>
      </c>
    </row>
    <row r="628" spans="1:5" x14ac:dyDescent="0.35">
      <c r="A628" s="6">
        <f t="shared" si="9"/>
        <v>1626</v>
      </c>
      <c r="B628" s="1" t="s">
        <v>4</v>
      </c>
      <c r="C628" s="20">
        <v>60.87</v>
      </c>
      <c r="D628" s="1">
        <f>Table4[[#This Row],[Quantity sold]]+5</f>
        <v>13</v>
      </c>
      <c r="E628" s="20">
        <v>6.0869999999999997</v>
      </c>
    </row>
    <row r="629" spans="1:5" x14ac:dyDescent="0.35">
      <c r="A629" s="6">
        <f t="shared" si="9"/>
        <v>1627</v>
      </c>
      <c r="B629" s="1" t="s">
        <v>1</v>
      </c>
      <c r="C629" s="20">
        <v>82.58</v>
      </c>
      <c r="D629" s="1">
        <f>Table4[[#This Row],[Quantity sold]]+5</f>
        <v>12</v>
      </c>
      <c r="E629" s="20">
        <v>41.29</v>
      </c>
    </row>
    <row r="630" spans="1:5" x14ac:dyDescent="0.35">
      <c r="A630" s="6">
        <f t="shared" si="9"/>
        <v>1628</v>
      </c>
      <c r="B630" s="1" t="s">
        <v>3</v>
      </c>
      <c r="C630" s="20">
        <v>53.3</v>
      </c>
      <c r="D630" s="1">
        <f>Table4[[#This Row],[Quantity sold]]+5</f>
        <v>6</v>
      </c>
      <c r="E630" s="20">
        <v>7.9950000000000001</v>
      </c>
    </row>
    <row r="631" spans="1:5" x14ac:dyDescent="0.35">
      <c r="A631" s="6">
        <f t="shared" si="9"/>
        <v>1629</v>
      </c>
      <c r="B631" s="1" t="s">
        <v>6</v>
      </c>
      <c r="C631" s="20">
        <v>12.09</v>
      </c>
      <c r="D631" s="1">
        <f>Table4[[#This Row],[Quantity sold]]+5</f>
        <v>11</v>
      </c>
      <c r="E631" s="20">
        <v>0.60450000000000004</v>
      </c>
    </row>
    <row r="632" spans="1:5" x14ac:dyDescent="0.35">
      <c r="A632" s="6">
        <f t="shared" si="9"/>
        <v>1630</v>
      </c>
      <c r="B632" s="1" t="s">
        <v>4</v>
      </c>
      <c r="C632" s="20">
        <v>64.19</v>
      </c>
      <c r="D632" s="1">
        <f>Table4[[#This Row],[Quantity sold]]+5</f>
        <v>11</v>
      </c>
      <c r="E632" s="20">
        <v>32.094999999999999</v>
      </c>
    </row>
    <row r="633" spans="1:5" x14ac:dyDescent="0.35">
      <c r="A633" s="6">
        <f t="shared" si="9"/>
        <v>1631</v>
      </c>
      <c r="B633" s="1" t="s">
        <v>2</v>
      </c>
      <c r="C633" s="20">
        <v>78.31</v>
      </c>
      <c r="D633" s="1">
        <f>Table4[[#This Row],[Quantity sold]]+5</f>
        <v>7</v>
      </c>
      <c r="E633" s="20">
        <v>11.746499999999999</v>
      </c>
    </row>
    <row r="634" spans="1:5" x14ac:dyDescent="0.35">
      <c r="A634" s="6">
        <f t="shared" si="9"/>
        <v>1632</v>
      </c>
      <c r="B634" s="1" t="s">
        <v>5</v>
      </c>
      <c r="C634" s="20">
        <v>83.77</v>
      </c>
      <c r="D634" s="1">
        <f>Table4[[#This Row],[Quantity sold]]+5</f>
        <v>14</v>
      </c>
      <c r="E634" s="20">
        <v>8.3770000000000007</v>
      </c>
    </row>
    <row r="635" spans="1:5" x14ac:dyDescent="0.35">
      <c r="A635" s="6">
        <f t="shared" si="9"/>
        <v>1633</v>
      </c>
      <c r="B635" s="1" t="s">
        <v>3</v>
      </c>
      <c r="C635" s="20">
        <v>99.7</v>
      </c>
      <c r="D635" s="1">
        <f>Table4[[#This Row],[Quantity sold]]+5</f>
        <v>6</v>
      </c>
      <c r="E635" s="20">
        <v>14.955</v>
      </c>
    </row>
    <row r="636" spans="1:5" x14ac:dyDescent="0.35">
      <c r="A636" s="6">
        <f t="shared" si="9"/>
        <v>1634</v>
      </c>
      <c r="B636" s="1" t="s">
        <v>5</v>
      </c>
      <c r="C636" s="20">
        <v>79.91</v>
      </c>
      <c r="D636" s="1">
        <f>Table4[[#This Row],[Quantity sold]]+5</f>
        <v>14</v>
      </c>
      <c r="E636" s="20">
        <v>11.986499999999999</v>
      </c>
    </row>
    <row r="637" spans="1:5" x14ac:dyDescent="0.35">
      <c r="A637" s="6">
        <f t="shared" si="9"/>
        <v>1635</v>
      </c>
      <c r="B637" s="1" t="s">
        <v>1</v>
      </c>
      <c r="C637" s="20">
        <v>66.47</v>
      </c>
      <c r="D637" s="1">
        <f>Table4[[#This Row],[Quantity sold]]+5</f>
        <v>11</v>
      </c>
      <c r="E637" s="20">
        <v>33.234999999999999</v>
      </c>
    </row>
    <row r="638" spans="1:5" x14ac:dyDescent="0.35">
      <c r="A638" s="6">
        <f t="shared" si="9"/>
        <v>1636</v>
      </c>
      <c r="B638" s="1" t="s">
        <v>1</v>
      </c>
      <c r="C638" s="20">
        <v>28.95</v>
      </c>
      <c r="D638" s="1">
        <f>Table4[[#This Row],[Quantity sold]]+5</f>
        <v>9</v>
      </c>
      <c r="E638" s="20">
        <v>10.1325</v>
      </c>
    </row>
    <row r="639" spans="1:5" x14ac:dyDescent="0.35">
      <c r="A639" s="6">
        <f t="shared" si="9"/>
        <v>1637</v>
      </c>
      <c r="B639" s="1" t="s">
        <v>2</v>
      </c>
      <c r="C639" s="20">
        <v>46.2</v>
      </c>
      <c r="D639" s="1">
        <f>Table4[[#This Row],[Quantity sold]]+5</f>
        <v>11</v>
      </c>
      <c r="E639" s="20">
        <v>2.31</v>
      </c>
    </row>
    <row r="640" spans="1:5" x14ac:dyDescent="0.35">
      <c r="A640" s="6">
        <f t="shared" si="9"/>
        <v>1638</v>
      </c>
      <c r="B640" s="1" t="s">
        <v>5</v>
      </c>
      <c r="C640" s="20">
        <v>17.63</v>
      </c>
      <c r="D640" s="1">
        <f>Table4[[#This Row],[Quantity sold]]+5</f>
        <v>7</v>
      </c>
      <c r="E640" s="20">
        <v>4.4074999999999998</v>
      </c>
    </row>
    <row r="641" spans="1:5" x14ac:dyDescent="0.35">
      <c r="A641" s="6">
        <f t="shared" si="9"/>
        <v>1639</v>
      </c>
      <c r="B641" s="1" t="s">
        <v>6</v>
      </c>
      <c r="C641" s="20">
        <v>52.42</v>
      </c>
      <c r="D641" s="1">
        <f>Table4[[#This Row],[Quantity sold]]+5</f>
        <v>13</v>
      </c>
      <c r="E641" s="20">
        <v>7.8630000000000004</v>
      </c>
    </row>
    <row r="642" spans="1:5" x14ac:dyDescent="0.35">
      <c r="A642" s="6">
        <f t="shared" si="9"/>
        <v>1640</v>
      </c>
      <c r="B642" s="1" t="s">
        <v>5</v>
      </c>
      <c r="C642" s="20">
        <v>98.79</v>
      </c>
      <c r="D642" s="1">
        <f>Table4[[#This Row],[Quantity sold]]+5</f>
        <v>15</v>
      </c>
      <c r="E642" s="20">
        <v>14.8185</v>
      </c>
    </row>
    <row r="643" spans="1:5" x14ac:dyDescent="0.35">
      <c r="A643" s="6">
        <f t="shared" si="9"/>
        <v>1641</v>
      </c>
      <c r="B643" s="1" t="s">
        <v>2</v>
      </c>
      <c r="C643" s="20">
        <v>88.55</v>
      </c>
      <c r="D643" s="1">
        <f>Table4[[#This Row],[Quantity sold]]+5</f>
        <v>11</v>
      </c>
      <c r="E643" s="20">
        <v>35.42</v>
      </c>
    </row>
    <row r="644" spans="1:5" x14ac:dyDescent="0.35">
      <c r="A644" s="6">
        <f t="shared" si="9"/>
        <v>1642</v>
      </c>
      <c r="B644" s="1" t="s">
        <v>2</v>
      </c>
      <c r="C644" s="20">
        <v>55.67</v>
      </c>
      <c r="D644" s="1">
        <f>Table4[[#This Row],[Quantity sold]]+5</f>
        <v>8</v>
      </c>
      <c r="E644" s="20">
        <v>5.5670000000000002</v>
      </c>
    </row>
    <row r="645" spans="1:5" x14ac:dyDescent="0.35">
      <c r="A645" s="6">
        <f t="shared" ref="A645:A708" si="10">A644+1</f>
        <v>1643</v>
      </c>
      <c r="B645" s="1" t="s">
        <v>5</v>
      </c>
      <c r="C645" s="20">
        <v>72.52</v>
      </c>
      <c r="D645" s="1">
        <f>Table4[[#This Row],[Quantity sold]]+5</f>
        <v>11</v>
      </c>
      <c r="E645" s="20">
        <v>29.007999999999999</v>
      </c>
    </row>
    <row r="646" spans="1:5" x14ac:dyDescent="0.35">
      <c r="A646" s="6">
        <f t="shared" si="10"/>
        <v>1644</v>
      </c>
      <c r="B646" s="1" t="s">
        <v>2</v>
      </c>
      <c r="C646" s="20">
        <v>12.05</v>
      </c>
      <c r="D646" s="1">
        <f>Table4[[#This Row],[Quantity sold]]+5</f>
        <v>14</v>
      </c>
      <c r="E646" s="20">
        <v>3.0125000000000002</v>
      </c>
    </row>
    <row r="647" spans="1:5" x14ac:dyDescent="0.35">
      <c r="A647" s="6">
        <f t="shared" si="10"/>
        <v>1645</v>
      </c>
      <c r="B647" s="1" t="s">
        <v>3</v>
      </c>
      <c r="C647" s="20">
        <v>19.36</v>
      </c>
      <c r="D647" s="1">
        <f>Table4[[#This Row],[Quantity sold]]+5</f>
        <v>14</v>
      </c>
      <c r="E647" s="20">
        <v>8.7119999999999997</v>
      </c>
    </row>
    <row r="648" spans="1:5" x14ac:dyDescent="0.35">
      <c r="A648" s="6">
        <f t="shared" si="10"/>
        <v>1646</v>
      </c>
      <c r="B648" s="1" t="s">
        <v>1</v>
      </c>
      <c r="C648" s="20">
        <v>70.209999999999994</v>
      </c>
      <c r="D648" s="1">
        <f>Table4[[#This Row],[Quantity sold]]+5</f>
        <v>15</v>
      </c>
      <c r="E648" s="20">
        <v>21.062999999999999</v>
      </c>
    </row>
    <row r="649" spans="1:5" x14ac:dyDescent="0.35">
      <c r="A649" s="6">
        <f t="shared" si="10"/>
        <v>1647</v>
      </c>
      <c r="B649" s="1" t="s">
        <v>6</v>
      </c>
      <c r="C649" s="20">
        <v>33.630000000000003</v>
      </c>
      <c r="D649" s="1">
        <f>Table4[[#This Row],[Quantity sold]]+5</f>
        <v>11</v>
      </c>
      <c r="E649" s="20">
        <v>1.6815</v>
      </c>
    </row>
    <row r="650" spans="1:5" x14ac:dyDescent="0.35">
      <c r="A650" s="6">
        <f t="shared" si="10"/>
        <v>1648</v>
      </c>
      <c r="B650" s="1" t="s">
        <v>4</v>
      </c>
      <c r="C650" s="20">
        <v>15.49</v>
      </c>
      <c r="D650" s="1">
        <f>Table4[[#This Row],[Quantity sold]]+5</f>
        <v>15</v>
      </c>
      <c r="E650" s="20">
        <v>1.5489999999999999</v>
      </c>
    </row>
    <row r="651" spans="1:5" x14ac:dyDescent="0.35">
      <c r="A651" s="6">
        <f t="shared" si="10"/>
        <v>1649</v>
      </c>
      <c r="B651" s="1" t="s">
        <v>2</v>
      </c>
      <c r="C651" s="20">
        <v>24.74</v>
      </c>
      <c r="D651" s="1">
        <f>Table4[[#This Row],[Quantity sold]]+5</f>
        <v>14</v>
      </c>
      <c r="E651" s="20">
        <v>12.37</v>
      </c>
    </row>
    <row r="652" spans="1:5" x14ac:dyDescent="0.35">
      <c r="A652" s="6">
        <f t="shared" si="10"/>
        <v>1650</v>
      </c>
      <c r="B652" s="1" t="s">
        <v>2</v>
      </c>
      <c r="C652" s="20">
        <v>75.66</v>
      </c>
      <c r="D652" s="1">
        <f>Table4[[#This Row],[Quantity sold]]+5</f>
        <v>11</v>
      </c>
      <c r="E652" s="20">
        <v>18.914999999999999</v>
      </c>
    </row>
    <row r="653" spans="1:5" x14ac:dyDescent="0.35">
      <c r="A653" s="6">
        <f t="shared" si="10"/>
        <v>1651</v>
      </c>
      <c r="B653" s="1" t="s">
        <v>1</v>
      </c>
      <c r="C653" s="20">
        <v>55.81</v>
      </c>
      <c r="D653" s="1">
        <f>Table4[[#This Row],[Quantity sold]]+5</f>
        <v>8</v>
      </c>
      <c r="E653" s="20">
        <v>16.742999999999999</v>
      </c>
    </row>
    <row r="654" spans="1:5" x14ac:dyDescent="0.35">
      <c r="A654" s="6">
        <f t="shared" si="10"/>
        <v>1652</v>
      </c>
      <c r="B654" s="1" t="s">
        <v>3</v>
      </c>
      <c r="C654" s="20">
        <v>72.78</v>
      </c>
      <c r="D654" s="1">
        <f>Table4[[#This Row],[Quantity sold]]+5</f>
        <v>10</v>
      </c>
      <c r="E654" s="20">
        <v>36.39</v>
      </c>
    </row>
    <row r="655" spans="1:5" x14ac:dyDescent="0.35">
      <c r="A655" s="6">
        <f t="shared" si="10"/>
        <v>1653</v>
      </c>
      <c r="B655" s="1" t="s">
        <v>4</v>
      </c>
      <c r="C655" s="20">
        <v>37.32</v>
      </c>
      <c r="D655" s="1">
        <f>Table4[[#This Row],[Quantity sold]]+5</f>
        <v>11</v>
      </c>
      <c r="E655" s="20">
        <v>16.794</v>
      </c>
    </row>
    <row r="656" spans="1:5" x14ac:dyDescent="0.35">
      <c r="A656" s="6">
        <f t="shared" si="10"/>
        <v>1654</v>
      </c>
      <c r="B656" s="1" t="s">
        <v>6</v>
      </c>
      <c r="C656" s="20">
        <v>60.18</v>
      </c>
      <c r="D656" s="1">
        <f>Table4[[#This Row],[Quantity sold]]+5</f>
        <v>15</v>
      </c>
      <c r="E656" s="20">
        <v>12.036</v>
      </c>
    </row>
    <row r="657" spans="1:5" x14ac:dyDescent="0.35">
      <c r="A657" s="6">
        <f t="shared" si="10"/>
        <v>1655</v>
      </c>
      <c r="B657" s="1" t="s">
        <v>2</v>
      </c>
      <c r="C657" s="20">
        <v>15.69</v>
      </c>
      <c r="D657" s="1">
        <f>Table4[[#This Row],[Quantity sold]]+5</f>
        <v>14</v>
      </c>
      <c r="E657" s="20">
        <v>2.3534999999999999</v>
      </c>
    </row>
    <row r="658" spans="1:5" x14ac:dyDescent="0.35">
      <c r="A658" s="6">
        <f t="shared" si="10"/>
        <v>1656</v>
      </c>
      <c r="B658" s="1" t="s">
        <v>2</v>
      </c>
      <c r="C658" s="20">
        <v>99.69</v>
      </c>
      <c r="D658" s="1">
        <f>Table4[[#This Row],[Quantity sold]]+5</f>
        <v>6</v>
      </c>
      <c r="E658" s="20">
        <v>4.9844999999999997</v>
      </c>
    </row>
    <row r="659" spans="1:5" x14ac:dyDescent="0.35">
      <c r="A659" s="6">
        <f t="shared" si="10"/>
        <v>1657</v>
      </c>
      <c r="B659" s="1" t="s">
        <v>6</v>
      </c>
      <c r="C659" s="20">
        <v>88.15</v>
      </c>
      <c r="D659" s="1">
        <f>Table4[[#This Row],[Quantity sold]]+5</f>
        <v>10</v>
      </c>
      <c r="E659" s="20">
        <v>13.2225</v>
      </c>
    </row>
    <row r="660" spans="1:5" x14ac:dyDescent="0.35">
      <c r="A660" s="6">
        <f t="shared" si="10"/>
        <v>1658</v>
      </c>
      <c r="B660" s="1" t="s">
        <v>4</v>
      </c>
      <c r="C660" s="20">
        <v>27.93</v>
      </c>
      <c r="D660" s="1">
        <f>Table4[[#This Row],[Quantity sold]]+5</f>
        <v>9</v>
      </c>
      <c r="E660" s="20">
        <v>6.9824999999999999</v>
      </c>
    </row>
    <row r="661" spans="1:5" x14ac:dyDescent="0.35">
      <c r="A661" s="6">
        <f t="shared" si="10"/>
        <v>1659</v>
      </c>
      <c r="B661" s="1" t="s">
        <v>6</v>
      </c>
      <c r="C661" s="20">
        <v>55.45</v>
      </c>
      <c r="D661" s="1">
        <f>Table4[[#This Row],[Quantity sold]]+5</f>
        <v>8</v>
      </c>
      <c r="E661" s="20">
        <v>2.7725</v>
      </c>
    </row>
    <row r="662" spans="1:5" x14ac:dyDescent="0.35">
      <c r="A662" s="6">
        <f t="shared" si="10"/>
        <v>1660</v>
      </c>
      <c r="B662" s="1" t="s">
        <v>4</v>
      </c>
      <c r="C662" s="20">
        <v>42.97</v>
      </c>
      <c r="D662" s="1">
        <f>Table4[[#This Row],[Quantity sold]]+5</f>
        <v>10</v>
      </c>
      <c r="E662" s="20">
        <v>6.4455</v>
      </c>
    </row>
    <row r="663" spans="1:5" x14ac:dyDescent="0.35">
      <c r="A663" s="6">
        <f t="shared" si="10"/>
        <v>1661</v>
      </c>
      <c r="B663" s="1" t="s">
        <v>4</v>
      </c>
      <c r="C663" s="20">
        <v>17.14</v>
      </c>
      <c r="D663" s="1">
        <f>Table4[[#This Row],[Quantity sold]]+5</f>
        <v>12</v>
      </c>
      <c r="E663" s="20">
        <v>5.9989999999999997</v>
      </c>
    </row>
    <row r="664" spans="1:5" x14ac:dyDescent="0.35">
      <c r="A664" s="6">
        <f t="shared" si="10"/>
        <v>1662</v>
      </c>
      <c r="B664" s="1" t="s">
        <v>6</v>
      </c>
      <c r="C664" s="20">
        <v>58.75</v>
      </c>
      <c r="D664" s="1">
        <f>Table4[[#This Row],[Quantity sold]]+5</f>
        <v>15</v>
      </c>
      <c r="E664" s="20">
        <v>17.625</v>
      </c>
    </row>
    <row r="665" spans="1:5" x14ac:dyDescent="0.35">
      <c r="A665" s="6">
        <f t="shared" si="10"/>
        <v>1663</v>
      </c>
      <c r="B665" s="1" t="s">
        <v>5</v>
      </c>
      <c r="C665" s="20">
        <v>87.1</v>
      </c>
      <c r="D665" s="1">
        <f>Table4[[#This Row],[Quantity sold]]+5</f>
        <v>10</v>
      </c>
      <c r="E665" s="20">
        <v>43.55</v>
      </c>
    </row>
    <row r="666" spans="1:5" x14ac:dyDescent="0.35">
      <c r="A666" s="6">
        <f t="shared" si="10"/>
        <v>1664</v>
      </c>
      <c r="B666" s="1" t="s">
        <v>4</v>
      </c>
      <c r="C666" s="20">
        <v>98.8</v>
      </c>
      <c r="D666" s="1">
        <f>Table4[[#This Row],[Quantity sold]]+5</f>
        <v>8</v>
      </c>
      <c r="E666" s="20">
        <v>9.8800000000000008</v>
      </c>
    </row>
    <row r="667" spans="1:5" x14ac:dyDescent="0.35">
      <c r="A667" s="6">
        <f t="shared" si="10"/>
        <v>1665</v>
      </c>
      <c r="B667" s="1" t="s">
        <v>6</v>
      </c>
      <c r="C667" s="20">
        <v>48.63</v>
      </c>
      <c r="D667" s="1">
        <f>Table4[[#This Row],[Quantity sold]]+5</f>
        <v>9</v>
      </c>
      <c r="E667" s="20">
        <v>9.7260000000000009</v>
      </c>
    </row>
    <row r="668" spans="1:5" x14ac:dyDescent="0.35">
      <c r="A668" s="6">
        <f t="shared" si="10"/>
        <v>1666</v>
      </c>
      <c r="B668" s="1" t="s">
        <v>5</v>
      </c>
      <c r="C668" s="20">
        <v>57.74</v>
      </c>
      <c r="D668" s="1">
        <f>Table4[[#This Row],[Quantity sold]]+5</f>
        <v>8</v>
      </c>
      <c r="E668" s="20">
        <v>8.6609999999999996</v>
      </c>
    </row>
    <row r="669" spans="1:5" x14ac:dyDescent="0.35">
      <c r="A669" s="6">
        <f t="shared" si="10"/>
        <v>1667</v>
      </c>
      <c r="B669" s="1" t="s">
        <v>1</v>
      </c>
      <c r="C669" s="20">
        <v>17.97</v>
      </c>
      <c r="D669" s="1">
        <f>Table4[[#This Row],[Quantity sold]]+5</f>
        <v>14</v>
      </c>
      <c r="E669" s="20">
        <v>3.5939999999999999</v>
      </c>
    </row>
    <row r="670" spans="1:5" x14ac:dyDescent="0.35">
      <c r="A670" s="6">
        <f t="shared" si="10"/>
        <v>1668</v>
      </c>
      <c r="B670" s="1" t="s">
        <v>1</v>
      </c>
      <c r="C670" s="20">
        <v>47.71</v>
      </c>
      <c r="D670" s="1">
        <f>Table4[[#This Row],[Quantity sold]]+5</f>
        <v>6</v>
      </c>
      <c r="E670" s="20">
        <v>14.313000000000001</v>
      </c>
    </row>
    <row r="671" spans="1:5" x14ac:dyDescent="0.35">
      <c r="A671" s="6">
        <f t="shared" si="10"/>
        <v>1669</v>
      </c>
      <c r="B671" s="1" t="s">
        <v>4</v>
      </c>
      <c r="C671" s="20">
        <v>40.619999999999997</v>
      </c>
      <c r="D671" s="1">
        <f>Table4[[#This Row],[Quantity sold]]+5</f>
        <v>12</v>
      </c>
      <c r="E671" s="20">
        <v>4.0620000000000003</v>
      </c>
    </row>
    <row r="672" spans="1:5" x14ac:dyDescent="0.35">
      <c r="A672" s="6">
        <f t="shared" si="10"/>
        <v>1670</v>
      </c>
      <c r="B672" s="1" t="s">
        <v>6</v>
      </c>
      <c r="C672" s="20">
        <v>56.04</v>
      </c>
      <c r="D672" s="1">
        <f>Table4[[#This Row],[Quantity sold]]+5</f>
        <v>14</v>
      </c>
      <c r="E672" s="20">
        <v>28.02</v>
      </c>
    </row>
    <row r="673" spans="1:5" x14ac:dyDescent="0.35">
      <c r="A673" s="6">
        <f t="shared" si="10"/>
        <v>1671</v>
      </c>
      <c r="B673" s="1" t="s">
        <v>5</v>
      </c>
      <c r="C673" s="20">
        <v>93.4</v>
      </c>
      <c r="D673" s="1">
        <f>Table4[[#This Row],[Quantity sold]]+5</f>
        <v>6</v>
      </c>
      <c r="E673" s="20">
        <v>9.34</v>
      </c>
    </row>
    <row r="674" spans="1:5" x14ac:dyDescent="0.35">
      <c r="A674" s="6">
        <f t="shared" si="10"/>
        <v>1672</v>
      </c>
      <c r="B674" s="1" t="s">
        <v>1</v>
      </c>
      <c r="C674" s="20">
        <v>73.41</v>
      </c>
      <c r="D674" s="1">
        <f>Table4[[#This Row],[Quantity sold]]+5</f>
        <v>10</v>
      </c>
      <c r="E674" s="20">
        <v>11.0115</v>
      </c>
    </row>
    <row r="675" spans="1:5" x14ac:dyDescent="0.35">
      <c r="A675" s="6">
        <f t="shared" si="10"/>
        <v>1673</v>
      </c>
      <c r="B675" s="1" t="s">
        <v>1</v>
      </c>
      <c r="C675" s="20">
        <v>33.64</v>
      </c>
      <c r="D675" s="1">
        <f>Table4[[#This Row],[Quantity sold]]+5</f>
        <v>9</v>
      </c>
      <c r="E675" s="20">
        <v>13.456</v>
      </c>
    </row>
    <row r="676" spans="1:5" x14ac:dyDescent="0.35">
      <c r="A676" s="6">
        <f t="shared" si="10"/>
        <v>1674</v>
      </c>
      <c r="B676" s="1" t="s">
        <v>2</v>
      </c>
      <c r="C676" s="20">
        <v>45.48</v>
      </c>
      <c r="D676" s="1">
        <f>Table4[[#This Row],[Quantity sold]]+5</f>
        <v>9</v>
      </c>
      <c r="E676" s="20">
        <v>22.74</v>
      </c>
    </row>
    <row r="677" spans="1:5" x14ac:dyDescent="0.35">
      <c r="A677" s="6">
        <f t="shared" si="10"/>
        <v>1675</v>
      </c>
      <c r="B677" s="1" t="s">
        <v>6</v>
      </c>
      <c r="C677" s="20">
        <v>83.77</v>
      </c>
      <c r="D677" s="1">
        <f>Table4[[#This Row],[Quantity sold]]+5</f>
        <v>15</v>
      </c>
      <c r="E677" s="20">
        <v>8.3770000000000007</v>
      </c>
    </row>
    <row r="678" spans="1:5" x14ac:dyDescent="0.35">
      <c r="A678" s="6">
        <f t="shared" si="10"/>
        <v>1676</v>
      </c>
      <c r="B678" s="1" t="s">
        <v>4</v>
      </c>
      <c r="C678" s="20">
        <v>64.08</v>
      </c>
      <c r="D678" s="1">
        <f>Table4[[#This Row],[Quantity sold]]+5</f>
        <v>15</v>
      </c>
      <c r="E678" s="20">
        <v>22.428000000000001</v>
      </c>
    </row>
    <row r="679" spans="1:5" x14ac:dyDescent="0.35">
      <c r="A679" s="6">
        <f t="shared" si="10"/>
        <v>1677</v>
      </c>
      <c r="B679" s="1" t="s">
        <v>5</v>
      </c>
      <c r="C679" s="20">
        <v>73.47</v>
      </c>
      <c r="D679" s="1">
        <f>Table4[[#This Row],[Quantity sold]]+5</f>
        <v>14</v>
      </c>
      <c r="E679" s="20">
        <v>14.694000000000001</v>
      </c>
    </row>
    <row r="680" spans="1:5" x14ac:dyDescent="0.35">
      <c r="A680" s="6">
        <f t="shared" si="10"/>
        <v>1678</v>
      </c>
      <c r="B680" s="1" t="s">
        <v>1</v>
      </c>
      <c r="C680" s="20">
        <v>58.95</v>
      </c>
      <c r="D680" s="1">
        <f>Table4[[#This Row],[Quantity sold]]+5</f>
        <v>6</v>
      </c>
      <c r="E680" s="20">
        <v>29.475000000000001</v>
      </c>
    </row>
    <row r="681" spans="1:5" x14ac:dyDescent="0.35">
      <c r="A681" s="6">
        <f t="shared" si="10"/>
        <v>1679</v>
      </c>
      <c r="B681" s="1" t="s">
        <v>5</v>
      </c>
      <c r="C681" s="20">
        <v>48.5</v>
      </c>
      <c r="D681" s="1">
        <f>Table4[[#This Row],[Quantity sold]]+5</f>
        <v>9</v>
      </c>
      <c r="E681" s="20">
        <v>14.55</v>
      </c>
    </row>
    <row r="682" spans="1:5" x14ac:dyDescent="0.35">
      <c r="A682" s="6">
        <f t="shared" si="10"/>
        <v>1680</v>
      </c>
      <c r="B682" s="1" t="s">
        <v>2</v>
      </c>
      <c r="C682" s="20">
        <v>39.479999999999997</v>
      </c>
      <c r="D682" s="1">
        <f>Table4[[#This Row],[Quantity sold]]+5</f>
        <v>6</v>
      </c>
      <c r="E682" s="20">
        <v>1.974</v>
      </c>
    </row>
    <row r="683" spans="1:5" x14ac:dyDescent="0.35">
      <c r="A683" s="6">
        <f t="shared" si="10"/>
        <v>1681</v>
      </c>
      <c r="B683" s="1" t="s">
        <v>4</v>
      </c>
      <c r="C683" s="20">
        <v>34.81</v>
      </c>
      <c r="D683" s="1">
        <f>Table4[[#This Row],[Quantity sold]]+5</f>
        <v>13</v>
      </c>
      <c r="E683" s="20">
        <v>1.7404999999999999</v>
      </c>
    </row>
    <row r="684" spans="1:5" x14ac:dyDescent="0.35">
      <c r="A684" s="6">
        <f t="shared" si="10"/>
        <v>1682</v>
      </c>
      <c r="B684" s="1" t="s">
        <v>6</v>
      </c>
      <c r="C684" s="20">
        <v>49.32</v>
      </c>
      <c r="D684" s="1">
        <f>Table4[[#This Row],[Quantity sold]]+5</f>
        <v>15</v>
      </c>
      <c r="E684" s="20">
        <v>14.795999999999999</v>
      </c>
    </row>
    <row r="685" spans="1:5" x14ac:dyDescent="0.35">
      <c r="A685" s="6">
        <f t="shared" si="10"/>
        <v>1683</v>
      </c>
      <c r="B685" s="1" t="s">
        <v>6</v>
      </c>
      <c r="C685" s="20">
        <v>21.48</v>
      </c>
      <c r="D685" s="1">
        <f>Table4[[#This Row],[Quantity sold]]+5</f>
        <v>8</v>
      </c>
      <c r="E685" s="20">
        <v>2.1480000000000001</v>
      </c>
    </row>
    <row r="686" spans="1:5" x14ac:dyDescent="0.35">
      <c r="A686" s="6">
        <f t="shared" si="10"/>
        <v>1684</v>
      </c>
      <c r="B686" s="1" t="s">
        <v>4</v>
      </c>
      <c r="C686" s="20">
        <v>23.08</v>
      </c>
      <c r="D686" s="1">
        <f>Table4[[#This Row],[Quantity sold]]+5</f>
        <v>7</v>
      </c>
      <c r="E686" s="20">
        <v>6.9240000000000004</v>
      </c>
    </row>
    <row r="687" spans="1:5" x14ac:dyDescent="0.35">
      <c r="A687" s="6">
        <f t="shared" si="10"/>
        <v>1685</v>
      </c>
      <c r="B687" s="1" t="s">
        <v>3</v>
      </c>
      <c r="C687" s="20">
        <v>49.1</v>
      </c>
      <c r="D687" s="1">
        <f>Table4[[#This Row],[Quantity sold]]+5</f>
        <v>10</v>
      </c>
      <c r="E687" s="20">
        <v>4.91</v>
      </c>
    </row>
    <row r="688" spans="1:5" x14ac:dyDescent="0.35">
      <c r="A688" s="6">
        <f t="shared" si="10"/>
        <v>1686</v>
      </c>
      <c r="B688" s="1" t="s">
        <v>4</v>
      </c>
      <c r="C688" s="20">
        <v>64.83</v>
      </c>
      <c r="D688" s="1">
        <f>Table4[[#This Row],[Quantity sold]]+5</f>
        <v>12</v>
      </c>
      <c r="E688" s="20">
        <v>6.4829999999999997</v>
      </c>
    </row>
    <row r="689" spans="1:5" x14ac:dyDescent="0.35">
      <c r="A689" s="6">
        <f t="shared" si="10"/>
        <v>1687</v>
      </c>
      <c r="B689" s="1" t="s">
        <v>3</v>
      </c>
      <c r="C689" s="20">
        <v>63.56</v>
      </c>
      <c r="D689" s="1">
        <f>Table4[[#This Row],[Quantity sold]]+5</f>
        <v>15</v>
      </c>
      <c r="E689" s="20">
        <v>31.78</v>
      </c>
    </row>
    <row r="690" spans="1:5" x14ac:dyDescent="0.35">
      <c r="A690" s="6">
        <f t="shared" si="10"/>
        <v>1688</v>
      </c>
      <c r="B690" s="1" t="s">
        <v>4</v>
      </c>
      <c r="C690" s="20">
        <v>72.88</v>
      </c>
      <c r="D690" s="1">
        <f>Table4[[#This Row],[Quantity sold]]+5</f>
        <v>6</v>
      </c>
      <c r="E690" s="20">
        <v>7.2880000000000003</v>
      </c>
    </row>
    <row r="691" spans="1:5" x14ac:dyDescent="0.35">
      <c r="A691" s="6">
        <f t="shared" si="10"/>
        <v>1689</v>
      </c>
      <c r="B691" s="1" t="s">
        <v>5</v>
      </c>
      <c r="C691" s="20">
        <v>67.099999999999994</v>
      </c>
      <c r="D691" s="1">
        <f>Table4[[#This Row],[Quantity sold]]+5</f>
        <v>12</v>
      </c>
      <c r="E691" s="20">
        <v>10.065</v>
      </c>
    </row>
    <row r="692" spans="1:5" x14ac:dyDescent="0.35">
      <c r="A692" s="6">
        <f t="shared" si="10"/>
        <v>1690</v>
      </c>
      <c r="B692" s="1" t="s">
        <v>4</v>
      </c>
      <c r="C692" s="20">
        <v>70.19</v>
      </c>
      <c r="D692" s="1">
        <f>Table4[[#This Row],[Quantity sold]]+5</f>
        <v>11</v>
      </c>
      <c r="E692" s="20">
        <v>31.5855</v>
      </c>
    </row>
    <row r="693" spans="1:5" x14ac:dyDescent="0.35">
      <c r="A693" s="6">
        <f t="shared" si="10"/>
        <v>1691</v>
      </c>
      <c r="B693" s="1" t="s">
        <v>5</v>
      </c>
      <c r="C693" s="20">
        <v>55.04</v>
      </c>
      <c r="D693" s="1">
        <f>Table4[[#This Row],[Quantity sold]]+5</f>
        <v>13</v>
      </c>
      <c r="E693" s="20">
        <v>19.263999999999999</v>
      </c>
    </row>
    <row r="694" spans="1:5" x14ac:dyDescent="0.35">
      <c r="A694" s="6">
        <f t="shared" si="10"/>
        <v>1692</v>
      </c>
      <c r="B694" s="1" t="s">
        <v>1</v>
      </c>
      <c r="C694" s="20">
        <v>48.63</v>
      </c>
      <c r="D694" s="1">
        <f>Table4[[#This Row],[Quantity sold]]+5</f>
        <v>8</v>
      </c>
      <c r="E694" s="20">
        <v>24.315000000000001</v>
      </c>
    </row>
    <row r="695" spans="1:5" x14ac:dyDescent="0.35">
      <c r="A695" s="6">
        <f t="shared" si="10"/>
        <v>1693</v>
      </c>
      <c r="B695" s="1" t="s">
        <v>6</v>
      </c>
      <c r="C695" s="20">
        <v>73.38</v>
      </c>
      <c r="D695" s="1">
        <f>Table4[[#This Row],[Quantity sold]]+5</f>
        <v>11</v>
      </c>
      <c r="E695" s="20">
        <v>25.683</v>
      </c>
    </row>
    <row r="696" spans="1:5" x14ac:dyDescent="0.35">
      <c r="A696" s="6">
        <f t="shared" si="10"/>
        <v>1694</v>
      </c>
      <c r="B696" s="1" t="s">
        <v>5</v>
      </c>
      <c r="C696" s="20">
        <v>52.6</v>
      </c>
      <c r="D696" s="1">
        <f>Table4[[#This Row],[Quantity sold]]+5</f>
        <v>11</v>
      </c>
      <c r="E696" s="20">
        <v>23.67</v>
      </c>
    </row>
    <row r="697" spans="1:5" x14ac:dyDescent="0.35">
      <c r="A697" s="6">
        <f t="shared" si="10"/>
        <v>1695</v>
      </c>
      <c r="B697" s="1" t="s">
        <v>3</v>
      </c>
      <c r="C697" s="20">
        <v>87.37</v>
      </c>
      <c r="D697" s="1">
        <f>Table4[[#This Row],[Quantity sold]]+5</f>
        <v>15</v>
      </c>
      <c r="E697" s="20">
        <v>21.842500000000001</v>
      </c>
    </row>
    <row r="698" spans="1:5" x14ac:dyDescent="0.35">
      <c r="A698" s="6">
        <f t="shared" si="10"/>
        <v>1696</v>
      </c>
      <c r="B698" s="1" t="s">
        <v>4</v>
      </c>
      <c r="C698" s="20">
        <v>27.04</v>
      </c>
      <c r="D698" s="1">
        <f>Table4[[#This Row],[Quantity sold]]+5</f>
        <v>12</v>
      </c>
      <c r="E698" s="20">
        <v>5.4080000000000004</v>
      </c>
    </row>
    <row r="699" spans="1:5" x14ac:dyDescent="0.35">
      <c r="A699" s="6">
        <f t="shared" si="10"/>
        <v>1697</v>
      </c>
      <c r="B699" s="1" t="s">
        <v>3</v>
      </c>
      <c r="C699" s="20">
        <v>62.19</v>
      </c>
      <c r="D699" s="1">
        <f>Table4[[#This Row],[Quantity sold]]+5</f>
        <v>12</v>
      </c>
      <c r="E699" s="20">
        <v>12.438000000000001</v>
      </c>
    </row>
    <row r="700" spans="1:5" x14ac:dyDescent="0.35">
      <c r="A700" s="6">
        <f t="shared" si="10"/>
        <v>1698</v>
      </c>
      <c r="B700" s="1" t="s">
        <v>2</v>
      </c>
      <c r="C700" s="20">
        <v>69.58</v>
      </c>
      <c r="D700" s="1">
        <f>Table4[[#This Row],[Quantity sold]]+5</f>
        <v>10</v>
      </c>
      <c r="E700" s="20">
        <v>31.311</v>
      </c>
    </row>
    <row r="701" spans="1:5" x14ac:dyDescent="0.35">
      <c r="A701" s="6">
        <f t="shared" si="10"/>
        <v>1699</v>
      </c>
      <c r="B701" s="1" t="s">
        <v>3</v>
      </c>
      <c r="C701" s="20">
        <v>97.5</v>
      </c>
      <c r="D701" s="1">
        <f>Table4[[#This Row],[Quantity sold]]+5</f>
        <v>14</v>
      </c>
      <c r="E701" s="20">
        <v>48.75</v>
      </c>
    </row>
    <row r="702" spans="1:5" x14ac:dyDescent="0.35">
      <c r="A702" s="6">
        <f t="shared" si="10"/>
        <v>1700</v>
      </c>
      <c r="B702" s="1" t="s">
        <v>6</v>
      </c>
      <c r="C702" s="20">
        <v>60.41</v>
      </c>
      <c r="D702" s="1">
        <f>Table4[[#This Row],[Quantity sold]]+5</f>
        <v>11</v>
      </c>
      <c r="E702" s="20">
        <v>24.164000000000001</v>
      </c>
    </row>
    <row r="703" spans="1:5" x14ac:dyDescent="0.35">
      <c r="A703" s="6">
        <f t="shared" si="10"/>
        <v>1701</v>
      </c>
      <c r="B703" s="1" t="s">
        <v>5</v>
      </c>
      <c r="C703" s="20">
        <v>32.32</v>
      </c>
      <c r="D703" s="1">
        <f>Table4[[#This Row],[Quantity sold]]+5</f>
        <v>13</v>
      </c>
      <c r="E703" s="20">
        <v>4.8479999999999999</v>
      </c>
    </row>
    <row r="704" spans="1:5" x14ac:dyDescent="0.35">
      <c r="A704" s="6">
        <f t="shared" si="10"/>
        <v>1702</v>
      </c>
      <c r="B704" s="1" t="s">
        <v>6</v>
      </c>
      <c r="C704" s="20">
        <v>19.77</v>
      </c>
      <c r="D704" s="1">
        <f>Table4[[#This Row],[Quantity sold]]+5</f>
        <v>10</v>
      </c>
      <c r="E704" s="20">
        <v>9.8849999999999998</v>
      </c>
    </row>
    <row r="705" spans="1:5" x14ac:dyDescent="0.35">
      <c r="A705" s="6">
        <f t="shared" si="10"/>
        <v>1703</v>
      </c>
      <c r="B705" s="1" t="s">
        <v>1</v>
      </c>
      <c r="C705" s="20">
        <v>80.47</v>
      </c>
      <c r="D705" s="1">
        <f>Table4[[#This Row],[Quantity sold]]+5</f>
        <v>9</v>
      </c>
      <c r="E705" s="20">
        <v>36.211500000000001</v>
      </c>
    </row>
    <row r="706" spans="1:5" x14ac:dyDescent="0.35">
      <c r="A706" s="6">
        <f t="shared" si="10"/>
        <v>1704</v>
      </c>
      <c r="B706" s="1" t="s">
        <v>3</v>
      </c>
      <c r="C706" s="20">
        <v>88.39</v>
      </c>
      <c r="D706" s="1">
        <f>Table4[[#This Row],[Quantity sold]]+5</f>
        <v>9</v>
      </c>
      <c r="E706" s="20">
        <v>39.775500000000001</v>
      </c>
    </row>
    <row r="707" spans="1:5" x14ac:dyDescent="0.35">
      <c r="A707" s="6">
        <f t="shared" si="10"/>
        <v>1705</v>
      </c>
      <c r="B707" s="1" t="s">
        <v>1</v>
      </c>
      <c r="C707" s="20">
        <v>71.77</v>
      </c>
      <c r="D707" s="1">
        <f>Table4[[#This Row],[Quantity sold]]+5</f>
        <v>7</v>
      </c>
      <c r="E707" s="20">
        <v>25.119499999999999</v>
      </c>
    </row>
    <row r="708" spans="1:5" x14ac:dyDescent="0.35">
      <c r="A708" s="6">
        <f t="shared" si="10"/>
        <v>1706</v>
      </c>
      <c r="B708" s="1" t="s">
        <v>2</v>
      </c>
      <c r="C708" s="20">
        <v>43</v>
      </c>
      <c r="D708" s="1">
        <f>Table4[[#This Row],[Quantity sold]]+5</f>
        <v>12</v>
      </c>
      <c r="E708" s="20">
        <v>8.6</v>
      </c>
    </row>
    <row r="709" spans="1:5" x14ac:dyDescent="0.35">
      <c r="A709" s="6">
        <f t="shared" ref="A709:A772" si="11">A708+1</f>
        <v>1707</v>
      </c>
      <c r="B709" s="1" t="s">
        <v>5</v>
      </c>
      <c r="C709" s="20">
        <v>68.98</v>
      </c>
      <c r="D709" s="1">
        <f>Table4[[#This Row],[Quantity sold]]+5</f>
        <v>8</v>
      </c>
      <c r="E709" s="20">
        <v>3.4489999999999998</v>
      </c>
    </row>
    <row r="710" spans="1:5" x14ac:dyDescent="0.35">
      <c r="A710" s="6">
        <f t="shared" si="11"/>
        <v>1708</v>
      </c>
      <c r="B710" s="1" t="s">
        <v>6</v>
      </c>
      <c r="C710" s="20">
        <v>15.62</v>
      </c>
      <c r="D710" s="1">
        <f>Table4[[#This Row],[Quantity sold]]+5</f>
        <v>15</v>
      </c>
      <c r="E710" s="20">
        <v>6.2480000000000002</v>
      </c>
    </row>
    <row r="711" spans="1:5" x14ac:dyDescent="0.35">
      <c r="A711" s="6">
        <f t="shared" si="11"/>
        <v>1709</v>
      </c>
      <c r="B711" s="1" t="s">
        <v>4</v>
      </c>
      <c r="C711" s="20">
        <v>25.7</v>
      </c>
      <c r="D711" s="1">
        <f>Table4[[#This Row],[Quantity sold]]+5</f>
        <v>11</v>
      </c>
      <c r="E711" s="20">
        <v>3.855</v>
      </c>
    </row>
    <row r="712" spans="1:5" x14ac:dyDescent="0.35">
      <c r="A712" s="6">
        <f t="shared" si="11"/>
        <v>1710</v>
      </c>
      <c r="B712" s="1" t="s">
        <v>5</v>
      </c>
      <c r="C712" s="20">
        <v>80.62</v>
      </c>
      <c r="D712" s="1">
        <f>Table4[[#This Row],[Quantity sold]]+5</f>
        <v>7</v>
      </c>
      <c r="E712" s="20">
        <v>24.186</v>
      </c>
    </row>
    <row r="713" spans="1:5" x14ac:dyDescent="0.35">
      <c r="A713" s="6">
        <f t="shared" si="11"/>
        <v>1711</v>
      </c>
      <c r="B713" s="1" t="s">
        <v>3</v>
      </c>
      <c r="C713" s="20">
        <v>75.53</v>
      </c>
      <c r="D713" s="1">
        <f>Table4[[#This Row],[Quantity sold]]+5</f>
        <v>8</v>
      </c>
      <c r="E713" s="20">
        <v>15.106</v>
      </c>
    </row>
    <row r="714" spans="1:5" x14ac:dyDescent="0.35">
      <c r="A714" s="6">
        <f t="shared" si="11"/>
        <v>1712</v>
      </c>
      <c r="B714" s="1" t="s">
        <v>2</v>
      </c>
      <c r="C714" s="20">
        <v>77.63</v>
      </c>
      <c r="D714" s="1">
        <f>Table4[[#This Row],[Quantity sold]]+5</f>
        <v>7</v>
      </c>
      <c r="E714" s="20">
        <v>34.933500000000002</v>
      </c>
    </row>
    <row r="715" spans="1:5" x14ac:dyDescent="0.35">
      <c r="A715" s="6">
        <f t="shared" si="11"/>
        <v>1713</v>
      </c>
      <c r="B715" s="1" t="s">
        <v>1</v>
      </c>
      <c r="C715" s="20">
        <v>13.85</v>
      </c>
      <c r="D715" s="1">
        <f>Table4[[#This Row],[Quantity sold]]+5</f>
        <v>6</v>
      </c>
      <c r="E715" s="20">
        <v>6.2324999999999999</v>
      </c>
    </row>
    <row r="716" spans="1:5" x14ac:dyDescent="0.35">
      <c r="A716" s="6">
        <f t="shared" si="11"/>
        <v>1714</v>
      </c>
      <c r="B716" s="1" t="s">
        <v>6</v>
      </c>
      <c r="C716" s="20">
        <v>98.7</v>
      </c>
      <c r="D716" s="1">
        <f>Table4[[#This Row],[Quantity sold]]+5</f>
        <v>11</v>
      </c>
      <c r="E716" s="20">
        <v>39.479999999999997</v>
      </c>
    </row>
    <row r="717" spans="1:5" x14ac:dyDescent="0.35">
      <c r="A717" s="6">
        <f t="shared" si="11"/>
        <v>1715</v>
      </c>
      <c r="B717" s="1" t="s">
        <v>1</v>
      </c>
      <c r="C717" s="20">
        <v>35.68</v>
      </c>
      <c r="D717" s="1">
        <f>Table4[[#This Row],[Quantity sold]]+5</f>
        <v>13</v>
      </c>
      <c r="E717" s="20">
        <v>8.92</v>
      </c>
    </row>
    <row r="718" spans="1:5" x14ac:dyDescent="0.35">
      <c r="A718" s="6">
        <f t="shared" si="11"/>
        <v>1716</v>
      </c>
      <c r="B718" s="1" t="s">
        <v>6</v>
      </c>
      <c r="C718" s="20">
        <v>71.459999999999994</v>
      </c>
      <c r="D718" s="1">
        <f>Table4[[#This Row],[Quantity sold]]+5</f>
        <v>6</v>
      </c>
      <c r="E718" s="20">
        <v>25.010999999999999</v>
      </c>
    </row>
    <row r="719" spans="1:5" x14ac:dyDescent="0.35">
      <c r="A719" s="6">
        <f t="shared" si="11"/>
        <v>1717</v>
      </c>
      <c r="B719" s="1" t="s">
        <v>2</v>
      </c>
      <c r="C719" s="20">
        <v>11.94</v>
      </c>
      <c r="D719" s="1">
        <f>Table4[[#This Row],[Quantity sold]]+5</f>
        <v>12</v>
      </c>
      <c r="E719" s="20">
        <v>1.7909999999999999</v>
      </c>
    </row>
    <row r="720" spans="1:5" x14ac:dyDescent="0.35">
      <c r="A720" s="6">
        <f t="shared" si="11"/>
        <v>1718</v>
      </c>
      <c r="B720" s="1" t="s">
        <v>6</v>
      </c>
      <c r="C720" s="20">
        <v>45.38</v>
      </c>
      <c r="D720" s="1">
        <f>Table4[[#This Row],[Quantity sold]]+5</f>
        <v>11</v>
      </c>
      <c r="E720" s="20">
        <v>6.8070000000000004</v>
      </c>
    </row>
    <row r="721" spans="1:5" x14ac:dyDescent="0.35">
      <c r="A721" s="6">
        <f t="shared" si="11"/>
        <v>1719</v>
      </c>
      <c r="B721" s="1" t="s">
        <v>6</v>
      </c>
      <c r="C721" s="20">
        <v>17.48</v>
      </c>
      <c r="D721" s="1">
        <f>Table4[[#This Row],[Quantity sold]]+5</f>
        <v>7</v>
      </c>
      <c r="E721" s="20">
        <v>5.2439999999999998</v>
      </c>
    </row>
    <row r="722" spans="1:5" x14ac:dyDescent="0.35">
      <c r="A722" s="6">
        <f t="shared" si="11"/>
        <v>1720</v>
      </c>
      <c r="B722" s="1" t="s">
        <v>6</v>
      </c>
      <c r="C722" s="20">
        <v>25.56</v>
      </c>
      <c r="D722" s="1">
        <f>Table4[[#This Row],[Quantity sold]]+5</f>
        <v>12</v>
      </c>
      <c r="E722" s="20">
        <v>8.9459999999999997</v>
      </c>
    </row>
    <row r="723" spans="1:5" x14ac:dyDescent="0.35">
      <c r="A723" s="6">
        <f t="shared" si="11"/>
        <v>1721</v>
      </c>
      <c r="B723" s="1" t="s">
        <v>4</v>
      </c>
      <c r="C723" s="20">
        <v>90.63</v>
      </c>
      <c r="D723" s="1">
        <f>Table4[[#This Row],[Quantity sold]]+5</f>
        <v>8</v>
      </c>
      <c r="E723" s="20">
        <v>40.783499999999997</v>
      </c>
    </row>
    <row r="724" spans="1:5" x14ac:dyDescent="0.35">
      <c r="A724" s="6">
        <f t="shared" si="11"/>
        <v>1722</v>
      </c>
      <c r="B724" s="1" t="s">
        <v>3</v>
      </c>
      <c r="C724" s="20">
        <v>44.12</v>
      </c>
      <c r="D724" s="1">
        <f>Table4[[#This Row],[Quantity sold]]+5</f>
        <v>9</v>
      </c>
      <c r="E724" s="20">
        <v>6.6180000000000003</v>
      </c>
    </row>
    <row r="725" spans="1:5" x14ac:dyDescent="0.35">
      <c r="A725" s="6">
        <f t="shared" si="11"/>
        <v>1723</v>
      </c>
      <c r="B725" s="1" t="s">
        <v>5</v>
      </c>
      <c r="C725" s="20">
        <v>36.770000000000003</v>
      </c>
      <c r="D725" s="1">
        <f>Table4[[#This Row],[Quantity sold]]+5</f>
        <v>6</v>
      </c>
      <c r="E725" s="20">
        <v>12.8695</v>
      </c>
    </row>
    <row r="726" spans="1:5" x14ac:dyDescent="0.35">
      <c r="A726" s="6">
        <f t="shared" si="11"/>
        <v>1724</v>
      </c>
      <c r="B726" s="1" t="s">
        <v>5</v>
      </c>
      <c r="C726" s="20">
        <v>23.34</v>
      </c>
      <c r="D726" s="1">
        <f>Table4[[#This Row],[Quantity sold]]+5</f>
        <v>13</v>
      </c>
      <c r="E726" s="20">
        <v>4.6680000000000001</v>
      </c>
    </row>
    <row r="727" spans="1:5" x14ac:dyDescent="0.35">
      <c r="A727" s="6">
        <f t="shared" si="11"/>
        <v>1725</v>
      </c>
      <c r="B727" s="1" t="s">
        <v>1</v>
      </c>
      <c r="C727" s="20">
        <v>28.5</v>
      </c>
      <c r="D727" s="1">
        <f>Table4[[#This Row],[Quantity sold]]+5</f>
        <v>12</v>
      </c>
      <c r="E727" s="20">
        <v>11.4</v>
      </c>
    </row>
    <row r="728" spans="1:5" x14ac:dyDescent="0.35">
      <c r="A728" s="6">
        <f t="shared" si="11"/>
        <v>1726</v>
      </c>
      <c r="B728" s="1" t="s">
        <v>3</v>
      </c>
      <c r="C728" s="20">
        <v>55.57</v>
      </c>
      <c r="D728" s="1">
        <f>Table4[[#This Row],[Quantity sold]]+5</f>
        <v>7</v>
      </c>
      <c r="E728" s="20">
        <v>8.3354999999999997</v>
      </c>
    </row>
    <row r="729" spans="1:5" x14ac:dyDescent="0.35">
      <c r="A729" s="6">
        <f t="shared" si="11"/>
        <v>1727</v>
      </c>
      <c r="B729" s="1" t="s">
        <v>4</v>
      </c>
      <c r="C729" s="20">
        <v>69.739999999999995</v>
      </c>
      <c r="D729" s="1">
        <f>Table4[[#This Row],[Quantity sold]]+5</f>
        <v>15</v>
      </c>
      <c r="E729" s="20">
        <v>34.869999999999997</v>
      </c>
    </row>
    <row r="730" spans="1:5" x14ac:dyDescent="0.35">
      <c r="A730" s="6">
        <f t="shared" si="11"/>
        <v>1728</v>
      </c>
      <c r="B730" s="1" t="s">
        <v>6</v>
      </c>
      <c r="C730" s="20">
        <v>97.26</v>
      </c>
      <c r="D730" s="1">
        <f>Table4[[#This Row],[Quantity sold]]+5</f>
        <v>14</v>
      </c>
      <c r="E730" s="20">
        <v>19.452000000000002</v>
      </c>
    </row>
    <row r="731" spans="1:5" x14ac:dyDescent="0.35">
      <c r="A731" s="6">
        <f t="shared" si="11"/>
        <v>1729</v>
      </c>
      <c r="B731" s="1" t="s">
        <v>3</v>
      </c>
      <c r="C731" s="20">
        <v>52.18</v>
      </c>
      <c r="D731" s="1">
        <f>Table4[[#This Row],[Quantity sold]]+5</f>
        <v>6</v>
      </c>
      <c r="E731" s="20">
        <v>18.263000000000002</v>
      </c>
    </row>
    <row r="732" spans="1:5" x14ac:dyDescent="0.35">
      <c r="A732" s="6">
        <f t="shared" si="11"/>
        <v>1730</v>
      </c>
      <c r="B732" s="1" t="s">
        <v>6</v>
      </c>
      <c r="C732" s="20">
        <v>22.32</v>
      </c>
      <c r="D732" s="1">
        <f>Table4[[#This Row],[Quantity sold]]+5</f>
        <v>8</v>
      </c>
      <c r="E732" s="20">
        <v>4.4640000000000004</v>
      </c>
    </row>
    <row r="733" spans="1:5" x14ac:dyDescent="0.35">
      <c r="A733" s="6">
        <f t="shared" si="11"/>
        <v>1731</v>
      </c>
      <c r="B733" s="1" t="s">
        <v>1</v>
      </c>
      <c r="C733" s="20">
        <v>56</v>
      </c>
      <c r="D733" s="1">
        <f>Table4[[#This Row],[Quantity sold]]+5</f>
        <v>14</v>
      </c>
      <c r="E733" s="20">
        <v>8.4</v>
      </c>
    </row>
    <row r="734" spans="1:5" x14ac:dyDescent="0.35">
      <c r="A734" s="6">
        <f t="shared" si="11"/>
        <v>1732</v>
      </c>
      <c r="B734" s="1" t="s">
        <v>6</v>
      </c>
      <c r="C734" s="20">
        <v>19.7</v>
      </c>
      <c r="D734" s="1">
        <f>Table4[[#This Row],[Quantity sold]]+5</f>
        <v>15</v>
      </c>
      <c r="E734" s="20">
        <v>0.98499999999999999</v>
      </c>
    </row>
    <row r="735" spans="1:5" x14ac:dyDescent="0.35">
      <c r="A735" s="6">
        <f t="shared" si="11"/>
        <v>1733</v>
      </c>
      <c r="B735" s="1" t="s">
        <v>2</v>
      </c>
      <c r="C735" s="20">
        <v>75.88</v>
      </c>
      <c r="D735" s="1">
        <f>Table4[[#This Row],[Quantity sold]]+5</f>
        <v>13</v>
      </c>
      <c r="E735" s="20">
        <v>26.558</v>
      </c>
    </row>
    <row r="736" spans="1:5" x14ac:dyDescent="0.35">
      <c r="A736" s="6">
        <f t="shared" si="11"/>
        <v>1734</v>
      </c>
      <c r="B736" s="1" t="s">
        <v>5</v>
      </c>
      <c r="C736" s="20">
        <v>53.72</v>
      </c>
      <c r="D736" s="1">
        <f>Table4[[#This Row],[Quantity sold]]+5</f>
        <v>8</v>
      </c>
      <c r="E736" s="20">
        <v>2.6859999999999999</v>
      </c>
    </row>
    <row r="737" spans="1:5" x14ac:dyDescent="0.35">
      <c r="A737" s="6">
        <f t="shared" si="11"/>
        <v>1735</v>
      </c>
      <c r="B737" s="1" t="s">
        <v>1</v>
      </c>
      <c r="C737" s="20">
        <v>81.95</v>
      </c>
      <c r="D737" s="1">
        <f>Table4[[#This Row],[Quantity sold]]+5</f>
        <v>10</v>
      </c>
      <c r="E737" s="20">
        <v>40.975000000000001</v>
      </c>
    </row>
    <row r="738" spans="1:5" x14ac:dyDescent="0.35">
      <c r="A738" s="6">
        <f t="shared" si="11"/>
        <v>1736</v>
      </c>
      <c r="B738" s="1" t="s">
        <v>3</v>
      </c>
      <c r="C738" s="20">
        <v>81.2</v>
      </c>
      <c r="D738" s="1">
        <f>Table4[[#This Row],[Quantity sold]]+5</f>
        <v>8</v>
      </c>
      <c r="E738" s="20">
        <v>28.42</v>
      </c>
    </row>
    <row r="739" spans="1:5" x14ac:dyDescent="0.35">
      <c r="A739" s="6">
        <f t="shared" si="11"/>
        <v>1737</v>
      </c>
      <c r="B739" s="1" t="s">
        <v>2</v>
      </c>
      <c r="C739" s="20">
        <v>58.76</v>
      </c>
      <c r="D739" s="1">
        <f>Table4[[#This Row],[Quantity sold]]+5</f>
        <v>7</v>
      </c>
      <c r="E739" s="20">
        <v>29.38</v>
      </c>
    </row>
    <row r="740" spans="1:5" x14ac:dyDescent="0.35">
      <c r="A740" s="6">
        <f t="shared" si="11"/>
        <v>1738</v>
      </c>
      <c r="B740" s="1" t="s">
        <v>2</v>
      </c>
      <c r="C740" s="20">
        <v>91.56</v>
      </c>
      <c r="D740" s="1">
        <f>Table4[[#This Row],[Quantity sold]]+5</f>
        <v>15</v>
      </c>
      <c r="E740" s="20">
        <v>36.624000000000002</v>
      </c>
    </row>
    <row r="741" spans="1:5" x14ac:dyDescent="0.35">
      <c r="A741" s="6">
        <f t="shared" si="11"/>
        <v>1739</v>
      </c>
      <c r="B741" s="1" t="s">
        <v>3</v>
      </c>
      <c r="C741" s="20">
        <v>93.96</v>
      </c>
      <c r="D741" s="1">
        <f>Table4[[#This Row],[Quantity sold]]+5</f>
        <v>12</v>
      </c>
      <c r="E741" s="20">
        <v>42.281999999999996</v>
      </c>
    </row>
    <row r="742" spans="1:5" x14ac:dyDescent="0.35">
      <c r="A742" s="6">
        <f t="shared" si="11"/>
        <v>1740</v>
      </c>
      <c r="B742" s="1" t="s">
        <v>3</v>
      </c>
      <c r="C742" s="20">
        <v>55.61</v>
      </c>
      <c r="D742" s="1">
        <f>Table4[[#This Row],[Quantity sold]]+5</f>
        <v>14</v>
      </c>
      <c r="E742" s="20">
        <v>19.4635</v>
      </c>
    </row>
    <row r="743" spans="1:5" x14ac:dyDescent="0.35">
      <c r="A743" s="6">
        <f t="shared" si="11"/>
        <v>1741</v>
      </c>
      <c r="B743" s="1" t="s">
        <v>5</v>
      </c>
      <c r="C743" s="20">
        <v>84.83</v>
      </c>
      <c r="D743" s="1">
        <f>Table4[[#This Row],[Quantity sold]]+5</f>
        <v>13</v>
      </c>
      <c r="E743" s="20">
        <v>4.2415000000000003</v>
      </c>
    </row>
    <row r="744" spans="1:5" x14ac:dyDescent="0.35">
      <c r="A744" s="6">
        <f t="shared" si="11"/>
        <v>1742</v>
      </c>
      <c r="B744" s="1" t="s">
        <v>4</v>
      </c>
      <c r="C744" s="20">
        <v>71.63</v>
      </c>
      <c r="D744" s="1">
        <f>Table4[[#This Row],[Quantity sold]]+5</f>
        <v>8</v>
      </c>
      <c r="E744" s="20">
        <v>7.1630000000000003</v>
      </c>
    </row>
    <row r="745" spans="1:5" x14ac:dyDescent="0.35">
      <c r="A745" s="6">
        <f t="shared" si="11"/>
        <v>1743</v>
      </c>
      <c r="B745" s="1" t="s">
        <v>3</v>
      </c>
      <c r="C745" s="20">
        <v>37.69</v>
      </c>
      <c r="D745" s="1">
        <f>Table4[[#This Row],[Quantity sold]]+5</f>
        <v>9</v>
      </c>
      <c r="E745" s="20">
        <v>3.7690000000000001</v>
      </c>
    </row>
    <row r="746" spans="1:5" x14ac:dyDescent="0.35">
      <c r="A746" s="6">
        <f t="shared" si="11"/>
        <v>1744</v>
      </c>
      <c r="B746" s="1" t="s">
        <v>4</v>
      </c>
      <c r="C746" s="20">
        <v>31.67</v>
      </c>
      <c r="D746" s="1">
        <f>Table4[[#This Row],[Quantity sold]]+5</f>
        <v>14</v>
      </c>
      <c r="E746" s="20">
        <v>12.667999999999999</v>
      </c>
    </row>
    <row r="747" spans="1:5" x14ac:dyDescent="0.35">
      <c r="A747" s="6">
        <f t="shared" si="11"/>
        <v>1745</v>
      </c>
      <c r="B747" s="1" t="s">
        <v>5</v>
      </c>
      <c r="C747" s="20">
        <v>38.42</v>
      </c>
      <c r="D747" s="1">
        <f>Table4[[#This Row],[Quantity sold]]+5</f>
        <v>9</v>
      </c>
      <c r="E747" s="20">
        <v>1.921</v>
      </c>
    </row>
    <row r="748" spans="1:5" x14ac:dyDescent="0.35">
      <c r="A748" s="6">
        <f t="shared" si="11"/>
        <v>1746</v>
      </c>
      <c r="B748" s="1" t="s">
        <v>6</v>
      </c>
      <c r="C748" s="20">
        <v>65.23</v>
      </c>
      <c r="D748" s="1">
        <f>Table4[[#This Row],[Quantity sold]]+5</f>
        <v>15</v>
      </c>
      <c r="E748" s="20">
        <v>32.615000000000002</v>
      </c>
    </row>
    <row r="749" spans="1:5" x14ac:dyDescent="0.35">
      <c r="A749" s="6">
        <f t="shared" si="11"/>
        <v>1747</v>
      </c>
      <c r="B749" s="1" t="s">
        <v>3</v>
      </c>
      <c r="C749" s="20">
        <v>10.53</v>
      </c>
      <c r="D749" s="1">
        <f>Table4[[#This Row],[Quantity sold]]+5</f>
        <v>12</v>
      </c>
      <c r="E749" s="20">
        <v>2.6324999999999998</v>
      </c>
    </row>
    <row r="750" spans="1:5" x14ac:dyDescent="0.35">
      <c r="A750" s="6">
        <f t="shared" si="11"/>
        <v>1748</v>
      </c>
      <c r="B750" s="1" t="s">
        <v>3</v>
      </c>
      <c r="C750" s="20">
        <v>12.29</v>
      </c>
      <c r="D750" s="1">
        <f>Table4[[#This Row],[Quantity sold]]+5</f>
        <v>13</v>
      </c>
      <c r="E750" s="20">
        <v>5.5305</v>
      </c>
    </row>
    <row r="751" spans="1:5" x14ac:dyDescent="0.35">
      <c r="A751" s="6">
        <f t="shared" si="11"/>
        <v>1749</v>
      </c>
      <c r="B751" s="1" t="s">
        <v>1</v>
      </c>
      <c r="C751" s="20">
        <v>81.23</v>
      </c>
      <c r="D751" s="1">
        <f>Table4[[#This Row],[Quantity sold]]+5</f>
        <v>8</v>
      </c>
      <c r="E751" s="20">
        <v>28.430499999999999</v>
      </c>
    </row>
    <row r="752" spans="1:5" x14ac:dyDescent="0.35">
      <c r="A752" s="6">
        <f t="shared" si="11"/>
        <v>1750</v>
      </c>
      <c r="B752" s="1" t="s">
        <v>6</v>
      </c>
      <c r="C752" s="20">
        <v>22.32</v>
      </c>
      <c r="D752" s="1">
        <f>Table4[[#This Row],[Quantity sold]]+5</f>
        <v>11</v>
      </c>
      <c r="E752" s="20">
        <v>4.4640000000000004</v>
      </c>
    </row>
    <row r="753" spans="1:5" x14ac:dyDescent="0.35">
      <c r="A753" s="6">
        <f t="shared" si="11"/>
        <v>1751</v>
      </c>
      <c r="B753" s="1" t="s">
        <v>5</v>
      </c>
      <c r="C753" s="20">
        <v>27.28</v>
      </c>
      <c r="D753" s="1">
        <f>Table4[[#This Row],[Quantity sold]]+5</f>
        <v>6</v>
      </c>
      <c r="E753" s="20">
        <v>6.82</v>
      </c>
    </row>
    <row r="754" spans="1:5" x14ac:dyDescent="0.35">
      <c r="A754" s="6">
        <f t="shared" si="11"/>
        <v>1752</v>
      </c>
      <c r="B754" s="1" t="s">
        <v>2</v>
      </c>
      <c r="C754" s="20">
        <v>17.420000000000002</v>
      </c>
      <c r="D754" s="1">
        <f>Table4[[#This Row],[Quantity sold]]+5</f>
        <v>6</v>
      </c>
      <c r="E754" s="20">
        <v>8.7100000000000009</v>
      </c>
    </row>
    <row r="755" spans="1:5" x14ac:dyDescent="0.35">
      <c r="A755" s="6">
        <f t="shared" si="11"/>
        <v>1753</v>
      </c>
      <c r="B755" s="1" t="s">
        <v>3</v>
      </c>
      <c r="C755" s="20">
        <v>73.28</v>
      </c>
      <c r="D755" s="1">
        <f>Table4[[#This Row],[Quantity sold]]+5</f>
        <v>11</v>
      </c>
      <c r="E755" s="20">
        <v>18.32</v>
      </c>
    </row>
    <row r="756" spans="1:5" x14ac:dyDescent="0.35">
      <c r="A756" s="6">
        <f t="shared" si="11"/>
        <v>1754</v>
      </c>
      <c r="B756" s="1" t="s">
        <v>6</v>
      </c>
      <c r="C756" s="20">
        <v>84.87</v>
      </c>
      <c r="D756" s="1">
        <f>Table4[[#This Row],[Quantity sold]]+5</f>
        <v>13</v>
      </c>
      <c r="E756" s="20">
        <v>12.730499999999999</v>
      </c>
    </row>
    <row r="757" spans="1:5" x14ac:dyDescent="0.35">
      <c r="A757" s="6">
        <f t="shared" si="11"/>
        <v>1755</v>
      </c>
      <c r="B757" s="1" t="s">
        <v>6</v>
      </c>
      <c r="C757" s="20">
        <v>97.29</v>
      </c>
      <c r="D757" s="1">
        <f>Table4[[#This Row],[Quantity sold]]+5</f>
        <v>15</v>
      </c>
      <c r="E757" s="20">
        <v>38.915999999999997</v>
      </c>
    </row>
    <row r="758" spans="1:5" x14ac:dyDescent="0.35">
      <c r="A758" s="6">
        <f t="shared" si="11"/>
        <v>1756</v>
      </c>
      <c r="B758" s="1" t="s">
        <v>2</v>
      </c>
      <c r="C758" s="20">
        <v>35.74</v>
      </c>
      <c r="D758" s="1">
        <f>Table4[[#This Row],[Quantity sold]]+5</f>
        <v>12</v>
      </c>
      <c r="E758" s="20">
        <v>14.295999999999999</v>
      </c>
    </row>
    <row r="759" spans="1:5" x14ac:dyDescent="0.35">
      <c r="A759" s="6">
        <f t="shared" si="11"/>
        <v>1757</v>
      </c>
      <c r="B759" s="1" t="s">
        <v>3</v>
      </c>
      <c r="C759" s="20">
        <v>96.52</v>
      </c>
      <c r="D759" s="1">
        <f>Table4[[#This Row],[Quantity sold]]+5</f>
        <v>14</v>
      </c>
      <c r="E759" s="20">
        <v>28.956</v>
      </c>
    </row>
    <row r="760" spans="1:5" x14ac:dyDescent="0.35">
      <c r="A760" s="6">
        <f t="shared" si="11"/>
        <v>1758</v>
      </c>
      <c r="B760" s="1" t="s">
        <v>5</v>
      </c>
      <c r="C760" s="20">
        <v>18.850000000000001</v>
      </c>
      <c r="D760" s="1">
        <f>Table4[[#This Row],[Quantity sold]]+5</f>
        <v>8</v>
      </c>
      <c r="E760" s="20">
        <v>9.4250000000000007</v>
      </c>
    </row>
    <row r="761" spans="1:5" x14ac:dyDescent="0.35">
      <c r="A761" s="6">
        <f t="shared" si="11"/>
        <v>1759</v>
      </c>
      <c r="B761" s="1" t="s">
        <v>5</v>
      </c>
      <c r="C761" s="20">
        <v>55.39</v>
      </c>
      <c r="D761" s="1">
        <f>Table4[[#This Row],[Quantity sold]]+5</f>
        <v>14</v>
      </c>
      <c r="E761" s="20">
        <v>11.077999999999999</v>
      </c>
    </row>
    <row r="762" spans="1:5" x14ac:dyDescent="0.35">
      <c r="A762" s="6">
        <f t="shared" si="11"/>
        <v>1760</v>
      </c>
      <c r="B762" s="1" t="s">
        <v>5</v>
      </c>
      <c r="C762" s="20">
        <v>77.2</v>
      </c>
      <c r="D762" s="1">
        <f>Table4[[#This Row],[Quantity sold]]+5</f>
        <v>6</v>
      </c>
      <c r="E762" s="20">
        <v>38.6</v>
      </c>
    </row>
    <row r="763" spans="1:5" x14ac:dyDescent="0.35">
      <c r="A763" s="6">
        <f t="shared" si="11"/>
        <v>1761</v>
      </c>
      <c r="B763" s="1" t="s">
        <v>2</v>
      </c>
      <c r="C763" s="20">
        <v>72.13</v>
      </c>
      <c r="D763" s="1">
        <f>Table4[[#This Row],[Quantity sold]]+5</f>
        <v>10</v>
      </c>
      <c r="E763" s="20">
        <v>36.064999999999998</v>
      </c>
    </row>
    <row r="764" spans="1:5" x14ac:dyDescent="0.35">
      <c r="A764" s="6">
        <f t="shared" si="11"/>
        <v>1762</v>
      </c>
      <c r="B764" s="1" t="s">
        <v>6</v>
      </c>
      <c r="C764" s="20">
        <v>63.88</v>
      </c>
      <c r="D764" s="1">
        <f>Table4[[#This Row],[Quantity sold]]+5</f>
        <v>7</v>
      </c>
      <c r="E764" s="20">
        <v>25.552</v>
      </c>
    </row>
    <row r="765" spans="1:5" x14ac:dyDescent="0.35">
      <c r="A765" s="6">
        <f t="shared" si="11"/>
        <v>1763</v>
      </c>
      <c r="B765" s="1" t="s">
        <v>1</v>
      </c>
      <c r="C765" s="20">
        <v>10.69</v>
      </c>
      <c r="D765" s="1">
        <f>Table4[[#This Row],[Quantity sold]]+5</f>
        <v>6</v>
      </c>
      <c r="E765" s="20">
        <v>2.6724999999999999</v>
      </c>
    </row>
    <row r="766" spans="1:5" x14ac:dyDescent="0.35">
      <c r="A766" s="6">
        <f t="shared" si="11"/>
        <v>1764</v>
      </c>
      <c r="B766" s="1" t="s">
        <v>1</v>
      </c>
      <c r="C766" s="20">
        <v>55.5</v>
      </c>
      <c r="D766" s="1">
        <f>Table4[[#This Row],[Quantity sold]]+5</f>
        <v>10</v>
      </c>
      <c r="E766" s="20">
        <v>11.1</v>
      </c>
    </row>
    <row r="767" spans="1:5" x14ac:dyDescent="0.35">
      <c r="A767" s="6">
        <f t="shared" si="11"/>
        <v>1765</v>
      </c>
      <c r="B767" s="1" t="s">
        <v>3</v>
      </c>
      <c r="C767" s="20">
        <v>95.46</v>
      </c>
      <c r="D767" s="1">
        <f>Table4[[#This Row],[Quantity sold]]+5</f>
        <v>12</v>
      </c>
      <c r="E767" s="20">
        <v>38.183999999999997</v>
      </c>
    </row>
    <row r="768" spans="1:5" x14ac:dyDescent="0.35">
      <c r="A768" s="6">
        <f t="shared" si="11"/>
        <v>1766</v>
      </c>
      <c r="B768" s="1" t="s">
        <v>6</v>
      </c>
      <c r="C768" s="20">
        <v>76.06</v>
      </c>
      <c r="D768" s="1">
        <f>Table4[[#This Row],[Quantity sold]]+5</f>
        <v>9</v>
      </c>
      <c r="E768" s="20">
        <v>11.409000000000001</v>
      </c>
    </row>
    <row r="769" spans="1:5" x14ac:dyDescent="0.35">
      <c r="A769" s="6">
        <f t="shared" si="11"/>
        <v>1767</v>
      </c>
      <c r="B769" s="1" t="s">
        <v>4</v>
      </c>
      <c r="C769" s="20">
        <v>13.69</v>
      </c>
      <c r="D769" s="1">
        <f>Table4[[#This Row],[Quantity sold]]+5</f>
        <v>11</v>
      </c>
      <c r="E769" s="20">
        <v>4.1070000000000002</v>
      </c>
    </row>
    <row r="770" spans="1:5" x14ac:dyDescent="0.35">
      <c r="A770" s="6">
        <f t="shared" si="11"/>
        <v>1768</v>
      </c>
      <c r="B770" s="1" t="s">
        <v>2</v>
      </c>
      <c r="C770" s="20">
        <v>95.64</v>
      </c>
      <c r="D770" s="1">
        <f>Table4[[#This Row],[Quantity sold]]+5</f>
        <v>13</v>
      </c>
      <c r="E770" s="20">
        <v>19.128</v>
      </c>
    </row>
    <row r="771" spans="1:5" x14ac:dyDescent="0.35">
      <c r="A771" s="6">
        <f t="shared" si="11"/>
        <v>1769</v>
      </c>
      <c r="B771" s="1" t="s">
        <v>3</v>
      </c>
      <c r="C771" s="20">
        <v>11.43</v>
      </c>
      <c r="D771" s="1">
        <f>Table4[[#This Row],[Quantity sold]]+5</f>
        <v>11</v>
      </c>
      <c r="E771" s="20">
        <v>3.4289999999999998</v>
      </c>
    </row>
    <row r="772" spans="1:5" x14ac:dyDescent="0.35">
      <c r="A772" s="6">
        <f t="shared" si="11"/>
        <v>1770</v>
      </c>
      <c r="B772" s="1" t="s">
        <v>4</v>
      </c>
      <c r="C772" s="20">
        <v>95.54</v>
      </c>
      <c r="D772" s="1">
        <f>Table4[[#This Row],[Quantity sold]]+5</f>
        <v>15</v>
      </c>
      <c r="E772" s="20">
        <v>19.108000000000001</v>
      </c>
    </row>
    <row r="773" spans="1:5" x14ac:dyDescent="0.35">
      <c r="A773" s="6">
        <f t="shared" ref="A773:A836" si="12">A772+1</f>
        <v>1771</v>
      </c>
      <c r="B773" s="1" t="s">
        <v>1</v>
      </c>
      <c r="C773" s="20">
        <v>85.87</v>
      </c>
      <c r="D773" s="1">
        <f>Table4[[#This Row],[Quantity sold]]+5</f>
        <v>9</v>
      </c>
      <c r="E773" s="20">
        <v>30.054500000000001</v>
      </c>
    </row>
    <row r="774" spans="1:5" x14ac:dyDescent="0.35">
      <c r="A774" s="6">
        <f t="shared" si="12"/>
        <v>1772</v>
      </c>
      <c r="B774" s="1" t="s">
        <v>4</v>
      </c>
      <c r="C774" s="20">
        <v>67.989999999999995</v>
      </c>
      <c r="D774" s="1">
        <f>Table4[[#This Row],[Quantity sold]]+5</f>
        <v>12</v>
      </c>
      <c r="E774" s="20">
        <v>23.796500000000002</v>
      </c>
    </row>
    <row r="775" spans="1:5" x14ac:dyDescent="0.35">
      <c r="A775" s="6">
        <f t="shared" si="12"/>
        <v>1773</v>
      </c>
      <c r="B775" s="1" t="s">
        <v>5</v>
      </c>
      <c r="C775" s="20">
        <v>52.42</v>
      </c>
      <c r="D775" s="1">
        <f>Table4[[#This Row],[Quantity sold]]+5</f>
        <v>13</v>
      </c>
      <c r="E775" s="20">
        <v>2.621</v>
      </c>
    </row>
    <row r="776" spans="1:5" x14ac:dyDescent="0.35">
      <c r="A776" s="6">
        <f t="shared" si="12"/>
        <v>1774</v>
      </c>
      <c r="B776" s="1" t="s">
        <v>5</v>
      </c>
      <c r="C776" s="20">
        <v>65.650000000000006</v>
      </c>
      <c r="D776" s="1">
        <f>Table4[[#This Row],[Quantity sold]]+5</f>
        <v>12</v>
      </c>
      <c r="E776" s="20">
        <v>6.5650000000000004</v>
      </c>
    </row>
    <row r="777" spans="1:5" x14ac:dyDescent="0.35">
      <c r="A777" s="6">
        <f t="shared" si="12"/>
        <v>1775</v>
      </c>
      <c r="B777" s="1" t="s">
        <v>5</v>
      </c>
      <c r="C777" s="20">
        <v>28.86</v>
      </c>
      <c r="D777" s="1">
        <f>Table4[[#This Row],[Quantity sold]]+5</f>
        <v>15</v>
      </c>
      <c r="E777" s="20">
        <v>7.2149999999999999</v>
      </c>
    </row>
    <row r="778" spans="1:5" x14ac:dyDescent="0.35">
      <c r="A778" s="6">
        <f t="shared" si="12"/>
        <v>1776</v>
      </c>
      <c r="B778" s="1" t="s">
        <v>1</v>
      </c>
      <c r="C778" s="20">
        <v>65.31</v>
      </c>
      <c r="D778" s="1">
        <f>Table4[[#This Row],[Quantity sold]]+5</f>
        <v>11</v>
      </c>
      <c r="E778" s="20">
        <v>22.858499999999999</v>
      </c>
    </row>
    <row r="779" spans="1:5" x14ac:dyDescent="0.35">
      <c r="A779" s="6">
        <f t="shared" si="12"/>
        <v>1777</v>
      </c>
      <c r="B779" s="1" t="s">
        <v>4</v>
      </c>
      <c r="C779" s="20">
        <v>93.38</v>
      </c>
      <c r="D779" s="1">
        <f>Table4[[#This Row],[Quantity sold]]+5</f>
        <v>6</v>
      </c>
      <c r="E779" s="20">
        <v>4.6689999999999996</v>
      </c>
    </row>
    <row r="780" spans="1:5" x14ac:dyDescent="0.35">
      <c r="A780" s="6">
        <f t="shared" si="12"/>
        <v>1778</v>
      </c>
      <c r="B780" s="1" t="s">
        <v>4</v>
      </c>
      <c r="C780" s="20">
        <v>25.25</v>
      </c>
      <c r="D780" s="1">
        <f>Table4[[#This Row],[Quantity sold]]+5</f>
        <v>15</v>
      </c>
      <c r="E780" s="20">
        <v>6.3125</v>
      </c>
    </row>
    <row r="781" spans="1:5" x14ac:dyDescent="0.35">
      <c r="A781" s="6">
        <f t="shared" si="12"/>
        <v>1779</v>
      </c>
      <c r="B781" s="1" t="s">
        <v>2</v>
      </c>
      <c r="C781" s="20">
        <v>87.87</v>
      </c>
      <c r="D781" s="1">
        <f>Table4[[#This Row],[Quantity sold]]+5</f>
        <v>11</v>
      </c>
      <c r="E781" s="20">
        <v>39.541499999999999</v>
      </c>
    </row>
    <row r="782" spans="1:5" x14ac:dyDescent="0.35">
      <c r="A782" s="6">
        <f t="shared" si="12"/>
        <v>1780</v>
      </c>
      <c r="B782" s="1" t="s">
        <v>1</v>
      </c>
      <c r="C782" s="20">
        <v>21.8</v>
      </c>
      <c r="D782" s="1">
        <f>Table4[[#This Row],[Quantity sold]]+5</f>
        <v>9</v>
      </c>
      <c r="E782" s="20">
        <v>8.7200000000000006</v>
      </c>
    </row>
    <row r="783" spans="1:5" x14ac:dyDescent="0.35">
      <c r="A783" s="6">
        <f t="shared" si="12"/>
        <v>1781</v>
      </c>
      <c r="B783" s="1" t="s">
        <v>4</v>
      </c>
      <c r="C783" s="20">
        <v>94.76</v>
      </c>
      <c r="D783" s="1">
        <f>Table4[[#This Row],[Quantity sold]]+5</f>
        <v>13</v>
      </c>
      <c r="E783" s="20">
        <v>18.952000000000002</v>
      </c>
    </row>
    <row r="784" spans="1:5" x14ac:dyDescent="0.35">
      <c r="A784" s="6">
        <f t="shared" si="12"/>
        <v>1782</v>
      </c>
      <c r="B784" s="1" t="s">
        <v>6</v>
      </c>
      <c r="C784" s="20">
        <v>30.62</v>
      </c>
      <c r="D784" s="1">
        <f>Table4[[#This Row],[Quantity sold]]+5</f>
        <v>9</v>
      </c>
      <c r="E784" s="20">
        <v>1.5309999999999999</v>
      </c>
    </row>
    <row r="785" spans="1:5" x14ac:dyDescent="0.35">
      <c r="A785" s="6">
        <f t="shared" si="12"/>
        <v>1783</v>
      </c>
      <c r="B785" s="1" t="s">
        <v>3</v>
      </c>
      <c r="C785" s="20">
        <v>44.01</v>
      </c>
      <c r="D785" s="1">
        <f>Table4[[#This Row],[Quantity sold]]+5</f>
        <v>14</v>
      </c>
      <c r="E785" s="20">
        <v>17.603999999999999</v>
      </c>
    </row>
    <row r="786" spans="1:5" x14ac:dyDescent="0.35">
      <c r="A786" s="6">
        <f t="shared" si="12"/>
        <v>1784</v>
      </c>
      <c r="B786" s="1" t="s">
        <v>1</v>
      </c>
      <c r="C786" s="20">
        <v>10.16</v>
      </c>
      <c r="D786" s="1">
        <f>Table4[[#This Row],[Quantity sold]]+5</f>
        <v>15</v>
      </c>
      <c r="E786" s="20">
        <v>2.54</v>
      </c>
    </row>
    <row r="787" spans="1:5" x14ac:dyDescent="0.35">
      <c r="A787" s="6">
        <f t="shared" si="12"/>
        <v>1785</v>
      </c>
      <c r="B787" s="1" t="s">
        <v>2</v>
      </c>
      <c r="C787" s="20">
        <v>74.58</v>
      </c>
      <c r="D787" s="1">
        <f>Table4[[#This Row],[Quantity sold]]+5</f>
        <v>12</v>
      </c>
      <c r="E787" s="20">
        <v>26.103000000000002</v>
      </c>
    </row>
    <row r="788" spans="1:5" x14ac:dyDescent="0.35">
      <c r="A788" s="6">
        <f t="shared" si="12"/>
        <v>1786</v>
      </c>
      <c r="B788" s="1" t="s">
        <v>2</v>
      </c>
      <c r="C788" s="20">
        <v>71.89</v>
      </c>
      <c r="D788" s="1">
        <f>Table4[[#This Row],[Quantity sold]]+5</f>
        <v>9</v>
      </c>
      <c r="E788" s="20">
        <v>28.756</v>
      </c>
    </row>
    <row r="789" spans="1:5" x14ac:dyDescent="0.35">
      <c r="A789" s="6">
        <f t="shared" si="12"/>
        <v>1787</v>
      </c>
      <c r="B789" s="1" t="s">
        <v>1</v>
      </c>
      <c r="C789" s="20">
        <v>10.99</v>
      </c>
      <c r="D789" s="1">
        <f>Table4[[#This Row],[Quantity sold]]+5</f>
        <v>15</v>
      </c>
      <c r="E789" s="20">
        <v>2.7475000000000001</v>
      </c>
    </row>
    <row r="790" spans="1:5" x14ac:dyDescent="0.35">
      <c r="A790" s="6">
        <f t="shared" si="12"/>
        <v>1788</v>
      </c>
      <c r="B790" s="1" t="s">
        <v>1</v>
      </c>
      <c r="C790" s="20">
        <v>60.47</v>
      </c>
      <c r="D790" s="1">
        <f>Table4[[#This Row],[Quantity sold]]+5</f>
        <v>13</v>
      </c>
      <c r="E790" s="20">
        <v>9.0704999999999991</v>
      </c>
    </row>
    <row r="791" spans="1:5" x14ac:dyDescent="0.35">
      <c r="A791" s="6">
        <f t="shared" si="12"/>
        <v>1789</v>
      </c>
      <c r="B791" s="1" t="s">
        <v>4</v>
      </c>
      <c r="C791" s="20">
        <v>58.91</v>
      </c>
      <c r="D791" s="1">
        <f>Table4[[#This Row],[Quantity sold]]+5</f>
        <v>7</v>
      </c>
      <c r="E791" s="20">
        <v>20.618500000000001</v>
      </c>
    </row>
    <row r="792" spans="1:5" x14ac:dyDescent="0.35">
      <c r="A792" s="6">
        <f t="shared" si="12"/>
        <v>1790</v>
      </c>
      <c r="B792" s="1" t="s">
        <v>6</v>
      </c>
      <c r="C792" s="20">
        <v>46.41</v>
      </c>
      <c r="D792" s="1">
        <f>Table4[[#This Row],[Quantity sold]]+5</f>
        <v>7</v>
      </c>
      <c r="E792" s="20">
        <v>2.3205</v>
      </c>
    </row>
    <row r="793" spans="1:5" x14ac:dyDescent="0.35">
      <c r="A793" s="6">
        <f t="shared" si="12"/>
        <v>1791</v>
      </c>
      <c r="B793" s="1" t="s">
        <v>1</v>
      </c>
      <c r="C793" s="20">
        <v>68.55</v>
      </c>
      <c r="D793" s="1">
        <f>Table4[[#This Row],[Quantity sold]]+5</f>
        <v>6</v>
      </c>
      <c r="E793" s="20">
        <v>13.71</v>
      </c>
    </row>
    <row r="794" spans="1:5" x14ac:dyDescent="0.35">
      <c r="A794" s="6">
        <f t="shared" si="12"/>
        <v>1792</v>
      </c>
      <c r="B794" s="1" t="s">
        <v>3</v>
      </c>
      <c r="C794" s="20">
        <v>97.37</v>
      </c>
      <c r="D794" s="1">
        <f>Table4[[#This Row],[Quantity sold]]+5</f>
        <v>12</v>
      </c>
      <c r="E794" s="20">
        <v>48.685000000000002</v>
      </c>
    </row>
    <row r="795" spans="1:5" x14ac:dyDescent="0.35">
      <c r="A795" s="6">
        <f t="shared" si="12"/>
        <v>1793</v>
      </c>
      <c r="B795" s="1" t="s">
        <v>2</v>
      </c>
      <c r="C795" s="20">
        <v>92.6</v>
      </c>
      <c r="D795" s="1">
        <f>Table4[[#This Row],[Quantity sold]]+5</f>
        <v>13</v>
      </c>
      <c r="E795" s="20">
        <v>32.409999999999997</v>
      </c>
    </row>
    <row r="796" spans="1:5" x14ac:dyDescent="0.35">
      <c r="A796" s="6">
        <f t="shared" si="12"/>
        <v>1794</v>
      </c>
      <c r="B796" s="1" t="s">
        <v>2</v>
      </c>
      <c r="C796" s="20">
        <v>46.61</v>
      </c>
      <c r="D796" s="1">
        <f>Table4[[#This Row],[Quantity sold]]+5</f>
        <v>13</v>
      </c>
      <c r="E796" s="20">
        <v>4.6609999999999996</v>
      </c>
    </row>
    <row r="797" spans="1:5" x14ac:dyDescent="0.35">
      <c r="A797" s="6">
        <f t="shared" si="12"/>
        <v>1795</v>
      </c>
      <c r="B797" s="1" t="s">
        <v>6</v>
      </c>
      <c r="C797" s="20">
        <v>27.18</v>
      </c>
      <c r="D797" s="1">
        <f>Table4[[#This Row],[Quantity sold]]+5</f>
        <v>8</v>
      </c>
      <c r="E797" s="20">
        <v>2.718</v>
      </c>
    </row>
    <row r="798" spans="1:5" x14ac:dyDescent="0.35">
      <c r="A798" s="6">
        <f t="shared" si="12"/>
        <v>1796</v>
      </c>
      <c r="B798" s="1" t="s">
        <v>3</v>
      </c>
      <c r="C798" s="20">
        <v>60.87</v>
      </c>
      <c r="D798" s="1">
        <f>Table4[[#This Row],[Quantity sold]]+5</f>
        <v>11</v>
      </c>
      <c r="E798" s="20">
        <v>3.0434999999999999</v>
      </c>
    </row>
    <row r="799" spans="1:5" x14ac:dyDescent="0.35">
      <c r="A799" s="6">
        <f t="shared" si="12"/>
        <v>1797</v>
      </c>
      <c r="B799" s="1" t="s">
        <v>4</v>
      </c>
      <c r="C799" s="20">
        <v>24.49</v>
      </c>
      <c r="D799" s="1">
        <f>Table4[[#This Row],[Quantity sold]]+5</f>
        <v>11</v>
      </c>
      <c r="E799" s="20">
        <v>12.244999999999999</v>
      </c>
    </row>
    <row r="800" spans="1:5" x14ac:dyDescent="0.35">
      <c r="A800" s="6">
        <f t="shared" si="12"/>
        <v>1798</v>
      </c>
      <c r="B800" s="1" t="s">
        <v>1</v>
      </c>
      <c r="C800" s="20">
        <v>92.78</v>
      </c>
      <c r="D800" s="1">
        <f>Table4[[#This Row],[Quantity sold]]+5</f>
        <v>13</v>
      </c>
      <c r="E800" s="20">
        <v>4.6390000000000002</v>
      </c>
    </row>
    <row r="801" spans="1:5" x14ac:dyDescent="0.35">
      <c r="A801" s="6">
        <f t="shared" si="12"/>
        <v>1799</v>
      </c>
      <c r="B801" s="1" t="s">
        <v>3</v>
      </c>
      <c r="C801" s="20">
        <v>86.69</v>
      </c>
      <c r="D801" s="1">
        <f>Table4[[#This Row],[Quantity sold]]+5</f>
        <v>14</v>
      </c>
      <c r="E801" s="20">
        <v>21.672499999999999</v>
      </c>
    </row>
    <row r="802" spans="1:5" x14ac:dyDescent="0.35">
      <c r="A802" s="6">
        <f t="shared" si="12"/>
        <v>1800</v>
      </c>
      <c r="B802" s="1" t="s">
        <v>4</v>
      </c>
      <c r="C802" s="20">
        <v>23.01</v>
      </c>
      <c r="D802" s="1">
        <f>Table4[[#This Row],[Quantity sold]]+5</f>
        <v>13</v>
      </c>
      <c r="E802" s="20">
        <v>6.9029999999999996</v>
      </c>
    </row>
    <row r="803" spans="1:5" x14ac:dyDescent="0.35">
      <c r="A803" s="6">
        <f t="shared" si="12"/>
        <v>1801</v>
      </c>
      <c r="B803" s="1" t="s">
        <v>2</v>
      </c>
      <c r="C803" s="20">
        <v>30.2</v>
      </c>
      <c r="D803" s="1">
        <f>Table4[[#This Row],[Quantity sold]]+5</f>
        <v>11</v>
      </c>
      <c r="E803" s="20">
        <v>12.08</v>
      </c>
    </row>
    <row r="804" spans="1:5" x14ac:dyDescent="0.35">
      <c r="A804" s="6">
        <f t="shared" si="12"/>
        <v>1802</v>
      </c>
      <c r="B804" s="1" t="s">
        <v>6</v>
      </c>
      <c r="C804" s="20">
        <v>67.39</v>
      </c>
      <c r="D804" s="1">
        <f>Table4[[#This Row],[Quantity sold]]+5</f>
        <v>15</v>
      </c>
      <c r="E804" s="20">
        <v>23.586500000000001</v>
      </c>
    </row>
    <row r="805" spans="1:5" x14ac:dyDescent="0.35">
      <c r="A805" s="6">
        <f t="shared" si="12"/>
        <v>1803</v>
      </c>
      <c r="B805" s="1" t="s">
        <v>6</v>
      </c>
      <c r="C805" s="20">
        <v>48.96</v>
      </c>
      <c r="D805" s="1">
        <f>Table4[[#This Row],[Quantity sold]]+5</f>
        <v>8</v>
      </c>
      <c r="E805" s="20">
        <v>22.032</v>
      </c>
    </row>
    <row r="806" spans="1:5" x14ac:dyDescent="0.35">
      <c r="A806" s="6">
        <f t="shared" si="12"/>
        <v>1804</v>
      </c>
      <c r="B806" s="1" t="s">
        <v>2</v>
      </c>
      <c r="C806" s="20">
        <v>75.59</v>
      </c>
      <c r="D806" s="1">
        <f>Table4[[#This Row],[Quantity sold]]+5</f>
        <v>14</v>
      </c>
      <c r="E806" s="20">
        <v>34.015500000000003</v>
      </c>
    </row>
    <row r="807" spans="1:5" x14ac:dyDescent="0.35">
      <c r="A807" s="6">
        <f t="shared" si="12"/>
        <v>1805</v>
      </c>
      <c r="B807" s="1" t="s">
        <v>3</v>
      </c>
      <c r="C807" s="20">
        <v>77.47</v>
      </c>
      <c r="D807" s="1">
        <f>Table4[[#This Row],[Quantity sold]]+5</f>
        <v>7</v>
      </c>
      <c r="E807" s="20">
        <v>15.494</v>
      </c>
    </row>
    <row r="808" spans="1:5" x14ac:dyDescent="0.35">
      <c r="A808" s="6">
        <f t="shared" si="12"/>
        <v>1806</v>
      </c>
      <c r="B808" s="1" t="s">
        <v>4</v>
      </c>
      <c r="C808" s="20">
        <v>93.18</v>
      </c>
      <c r="D808" s="1">
        <f>Table4[[#This Row],[Quantity sold]]+5</f>
        <v>6</v>
      </c>
      <c r="E808" s="20">
        <v>9.3179999999999996</v>
      </c>
    </row>
    <row r="809" spans="1:5" x14ac:dyDescent="0.35">
      <c r="A809" s="6">
        <f t="shared" si="12"/>
        <v>1807</v>
      </c>
      <c r="B809" s="1" t="s">
        <v>2</v>
      </c>
      <c r="C809" s="20">
        <v>50.23</v>
      </c>
      <c r="D809" s="1">
        <f>Table4[[#This Row],[Quantity sold]]+5</f>
        <v>12</v>
      </c>
      <c r="E809" s="20">
        <v>10.045999999999999</v>
      </c>
    </row>
    <row r="810" spans="1:5" x14ac:dyDescent="0.35">
      <c r="A810" s="6">
        <f t="shared" si="12"/>
        <v>1808</v>
      </c>
      <c r="B810" s="1" t="s">
        <v>1</v>
      </c>
      <c r="C810" s="20">
        <v>17.75</v>
      </c>
      <c r="D810" s="1">
        <f>Table4[[#This Row],[Quantity sold]]+5</f>
        <v>8</v>
      </c>
      <c r="E810" s="20">
        <v>0.88749999999999996</v>
      </c>
    </row>
    <row r="811" spans="1:5" x14ac:dyDescent="0.35">
      <c r="A811" s="6">
        <f t="shared" si="12"/>
        <v>1809</v>
      </c>
      <c r="B811" s="1" t="s">
        <v>6</v>
      </c>
      <c r="C811" s="20">
        <v>62.18</v>
      </c>
      <c r="D811" s="1">
        <f>Table4[[#This Row],[Quantity sold]]+5</f>
        <v>6</v>
      </c>
      <c r="E811" s="20">
        <v>31.09</v>
      </c>
    </row>
    <row r="812" spans="1:5" x14ac:dyDescent="0.35">
      <c r="A812" s="6">
        <f t="shared" si="12"/>
        <v>1810</v>
      </c>
      <c r="B812" s="1" t="s">
        <v>1</v>
      </c>
      <c r="C812" s="20">
        <v>10.75</v>
      </c>
      <c r="D812" s="1">
        <f>Table4[[#This Row],[Quantity sold]]+5</f>
        <v>9</v>
      </c>
      <c r="E812" s="20">
        <v>4.3</v>
      </c>
    </row>
    <row r="813" spans="1:5" x14ac:dyDescent="0.35">
      <c r="A813" s="6">
        <f t="shared" si="12"/>
        <v>1811</v>
      </c>
      <c r="B813" s="1" t="s">
        <v>2</v>
      </c>
      <c r="C813" s="20">
        <v>40.26</v>
      </c>
      <c r="D813" s="1">
        <f>Table4[[#This Row],[Quantity sold]]+5</f>
        <v>7</v>
      </c>
      <c r="E813" s="20">
        <v>20.13</v>
      </c>
    </row>
    <row r="814" spans="1:5" x14ac:dyDescent="0.35">
      <c r="A814" s="6">
        <f t="shared" si="12"/>
        <v>1812</v>
      </c>
      <c r="B814" s="1" t="s">
        <v>4</v>
      </c>
      <c r="C814" s="20">
        <v>64.97</v>
      </c>
      <c r="D814" s="1">
        <f>Table4[[#This Row],[Quantity sold]]+5</f>
        <v>8</v>
      </c>
      <c r="E814" s="20">
        <v>16.2425</v>
      </c>
    </row>
    <row r="815" spans="1:5" x14ac:dyDescent="0.35">
      <c r="A815" s="6">
        <f t="shared" si="12"/>
        <v>1813</v>
      </c>
      <c r="B815" s="1" t="s">
        <v>2</v>
      </c>
      <c r="C815" s="20">
        <v>95.15</v>
      </c>
      <c r="D815" s="1">
        <f>Table4[[#This Row],[Quantity sold]]+5</f>
        <v>7</v>
      </c>
      <c r="E815" s="20">
        <v>4.7575000000000003</v>
      </c>
    </row>
    <row r="816" spans="1:5" x14ac:dyDescent="0.35">
      <c r="A816" s="6">
        <f t="shared" si="12"/>
        <v>1814</v>
      </c>
      <c r="B816" s="1" t="s">
        <v>2</v>
      </c>
      <c r="C816" s="20">
        <v>48.62</v>
      </c>
      <c r="D816" s="1">
        <f>Table4[[#This Row],[Quantity sold]]+5</f>
        <v>6</v>
      </c>
      <c r="E816" s="20">
        <v>19.448</v>
      </c>
    </row>
    <row r="817" spans="1:5" x14ac:dyDescent="0.35">
      <c r="A817" s="6">
        <f t="shared" si="12"/>
        <v>1815</v>
      </c>
      <c r="B817" s="1" t="s">
        <v>5</v>
      </c>
      <c r="C817" s="20">
        <v>53.21</v>
      </c>
      <c r="D817" s="1">
        <f>Table4[[#This Row],[Quantity sold]]+5</f>
        <v>15</v>
      </c>
      <c r="E817" s="20">
        <v>21.283999999999999</v>
      </c>
    </row>
    <row r="818" spans="1:5" x14ac:dyDescent="0.35">
      <c r="A818" s="6">
        <f t="shared" si="12"/>
        <v>1816</v>
      </c>
      <c r="B818" s="1" t="s">
        <v>6</v>
      </c>
      <c r="C818" s="20">
        <v>45.44</v>
      </c>
      <c r="D818" s="1">
        <f>Table4[[#This Row],[Quantity sold]]+5</f>
        <v>9</v>
      </c>
      <c r="E818" s="20">
        <v>15.904</v>
      </c>
    </row>
    <row r="819" spans="1:5" x14ac:dyDescent="0.35">
      <c r="A819" s="6">
        <f t="shared" si="12"/>
        <v>1817</v>
      </c>
      <c r="B819" s="1" t="s">
        <v>5</v>
      </c>
      <c r="C819" s="20">
        <v>33.880000000000003</v>
      </c>
      <c r="D819" s="1">
        <f>Table4[[#This Row],[Quantity sold]]+5</f>
        <v>14</v>
      </c>
      <c r="E819" s="20">
        <v>13.552</v>
      </c>
    </row>
    <row r="820" spans="1:5" x14ac:dyDescent="0.35">
      <c r="A820" s="6">
        <f t="shared" si="12"/>
        <v>1818</v>
      </c>
      <c r="B820" s="1" t="s">
        <v>1</v>
      </c>
      <c r="C820" s="20">
        <v>96.16</v>
      </c>
      <c r="D820" s="1">
        <f>Table4[[#This Row],[Quantity sold]]+5</f>
        <v>9</v>
      </c>
      <c r="E820" s="20">
        <v>19.231999999999999</v>
      </c>
    </row>
    <row r="821" spans="1:5" x14ac:dyDescent="0.35">
      <c r="A821" s="6">
        <f t="shared" si="12"/>
        <v>1819</v>
      </c>
      <c r="B821" s="1" t="s">
        <v>5</v>
      </c>
      <c r="C821" s="20">
        <v>47.16</v>
      </c>
      <c r="D821" s="1">
        <f>Table4[[#This Row],[Quantity sold]]+5</f>
        <v>13</v>
      </c>
      <c r="E821" s="20">
        <v>11.79</v>
      </c>
    </row>
    <row r="822" spans="1:5" x14ac:dyDescent="0.35">
      <c r="A822" s="6">
        <f t="shared" si="12"/>
        <v>1820</v>
      </c>
      <c r="B822" s="1" t="s">
        <v>2</v>
      </c>
      <c r="C822" s="20">
        <v>52.89</v>
      </c>
      <c r="D822" s="1">
        <f>Table4[[#This Row],[Quantity sold]]+5</f>
        <v>14</v>
      </c>
      <c r="E822" s="20">
        <v>10.577999999999999</v>
      </c>
    </row>
    <row r="823" spans="1:5" x14ac:dyDescent="0.35">
      <c r="A823" s="6">
        <f t="shared" si="12"/>
        <v>1821</v>
      </c>
      <c r="B823" s="1" t="s">
        <v>3</v>
      </c>
      <c r="C823" s="20">
        <v>47.68</v>
      </c>
      <c r="D823" s="1">
        <f>Table4[[#This Row],[Quantity sold]]+5</f>
        <v>8</v>
      </c>
      <c r="E823" s="20">
        <v>4.7679999999999998</v>
      </c>
    </row>
    <row r="824" spans="1:5" x14ac:dyDescent="0.35">
      <c r="A824" s="6">
        <f t="shared" si="12"/>
        <v>1822</v>
      </c>
      <c r="B824" s="1" t="s">
        <v>4</v>
      </c>
      <c r="C824" s="20">
        <v>10.17</v>
      </c>
      <c r="D824" s="1">
        <f>Table4[[#This Row],[Quantity sold]]+5</f>
        <v>15</v>
      </c>
      <c r="E824" s="20">
        <v>0.50849999999999995</v>
      </c>
    </row>
    <row r="825" spans="1:5" x14ac:dyDescent="0.35">
      <c r="A825" s="6">
        <f t="shared" si="12"/>
        <v>1823</v>
      </c>
      <c r="B825" s="1" t="s">
        <v>1</v>
      </c>
      <c r="C825" s="20">
        <v>68.709999999999994</v>
      </c>
      <c r="D825" s="1">
        <f>Table4[[#This Row],[Quantity sold]]+5</f>
        <v>9</v>
      </c>
      <c r="E825" s="20">
        <v>10.3065</v>
      </c>
    </row>
    <row r="826" spans="1:5" x14ac:dyDescent="0.35">
      <c r="A826" s="6">
        <f t="shared" si="12"/>
        <v>1824</v>
      </c>
      <c r="B826" s="1" t="s">
        <v>4</v>
      </c>
      <c r="C826" s="20">
        <v>60.08</v>
      </c>
      <c r="D826" s="1">
        <f>Table4[[#This Row],[Quantity sold]]+5</f>
        <v>7</v>
      </c>
      <c r="E826" s="20">
        <v>21.027999999999999</v>
      </c>
    </row>
    <row r="827" spans="1:5" x14ac:dyDescent="0.35">
      <c r="A827" s="6">
        <f t="shared" si="12"/>
        <v>1825</v>
      </c>
      <c r="B827" s="1" t="s">
        <v>4</v>
      </c>
      <c r="C827" s="20">
        <v>22.01</v>
      </c>
      <c r="D827" s="1">
        <f>Table4[[#This Row],[Quantity sold]]+5</f>
        <v>13</v>
      </c>
      <c r="E827" s="20">
        <v>4.4020000000000001</v>
      </c>
    </row>
    <row r="828" spans="1:5" x14ac:dyDescent="0.35">
      <c r="A828" s="6">
        <f t="shared" si="12"/>
        <v>1826</v>
      </c>
      <c r="B828" s="1" t="s">
        <v>1</v>
      </c>
      <c r="C828" s="20">
        <v>72.11</v>
      </c>
      <c r="D828" s="1">
        <f>Table4[[#This Row],[Quantity sold]]+5</f>
        <v>14</v>
      </c>
      <c r="E828" s="20">
        <v>32.4495</v>
      </c>
    </row>
    <row r="829" spans="1:5" x14ac:dyDescent="0.35">
      <c r="A829" s="6">
        <f t="shared" si="12"/>
        <v>1827</v>
      </c>
      <c r="B829" s="1" t="s">
        <v>6</v>
      </c>
      <c r="C829" s="20">
        <v>41.28</v>
      </c>
      <c r="D829" s="1">
        <f>Table4[[#This Row],[Quantity sold]]+5</f>
        <v>14</v>
      </c>
      <c r="E829" s="20">
        <v>6.1920000000000002</v>
      </c>
    </row>
    <row r="830" spans="1:5" x14ac:dyDescent="0.35">
      <c r="A830" s="6">
        <f t="shared" si="12"/>
        <v>1828</v>
      </c>
      <c r="B830" s="1" t="s">
        <v>2</v>
      </c>
      <c r="C830" s="20">
        <v>64.95</v>
      </c>
      <c r="D830" s="1">
        <f>Table4[[#This Row],[Quantity sold]]+5</f>
        <v>12</v>
      </c>
      <c r="E830" s="20">
        <v>32.475000000000001</v>
      </c>
    </row>
    <row r="831" spans="1:5" x14ac:dyDescent="0.35">
      <c r="A831" s="6">
        <f t="shared" si="12"/>
        <v>1829</v>
      </c>
      <c r="B831" s="1" t="s">
        <v>2</v>
      </c>
      <c r="C831" s="20">
        <v>74.22</v>
      </c>
      <c r="D831" s="1">
        <f>Table4[[#This Row],[Quantity sold]]+5</f>
        <v>10</v>
      </c>
      <c r="E831" s="20">
        <v>37.11</v>
      </c>
    </row>
    <row r="832" spans="1:5" x14ac:dyDescent="0.35">
      <c r="A832" s="6">
        <f t="shared" si="12"/>
        <v>1830</v>
      </c>
      <c r="B832" s="1" t="s">
        <v>2</v>
      </c>
      <c r="C832" s="20">
        <v>10.56</v>
      </c>
      <c r="D832" s="1">
        <f>Table4[[#This Row],[Quantity sold]]+5</f>
        <v>14</v>
      </c>
      <c r="E832" s="20">
        <v>4.2240000000000002</v>
      </c>
    </row>
    <row r="833" spans="1:5" x14ac:dyDescent="0.35">
      <c r="A833" s="6">
        <f t="shared" si="12"/>
        <v>1831</v>
      </c>
      <c r="B833" s="1" t="s">
        <v>1</v>
      </c>
      <c r="C833" s="20">
        <v>62.57</v>
      </c>
      <c r="D833" s="1">
        <f>Table4[[#This Row],[Quantity sold]]+5</f>
        <v>11</v>
      </c>
      <c r="E833" s="20">
        <v>12.513999999999999</v>
      </c>
    </row>
    <row r="834" spans="1:5" x14ac:dyDescent="0.35">
      <c r="A834" s="6">
        <f t="shared" si="12"/>
        <v>1832</v>
      </c>
      <c r="B834" s="1" t="s">
        <v>4</v>
      </c>
      <c r="C834" s="20">
        <v>11.85</v>
      </c>
      <c r="D834" s="1">
        <f>Table4[[#This Row],[Quantity sold]]+5</f>
        <v>6</v>
      </c>
      <c r="E834" s="20">
        <v>4.74</v>
      </c>
    </row>
    <row r="835" spans="1:5" x14ac:dyDescent="0.35">
      <c r="A835" s="6">
        <f t="shared" si="12"/>
        <v>1833</v>
      </c>
      <c r="B835" s="1" t="s">
        <v>1</v>
      </c>
      <c r="C835" s="20">
        <v>91.3</v>
      </c>
      <c r="D835" s="1">
        <f>Table4[[#This Row],[Quantity sold]]+5</f>
        <v>14</v>
      </c>
      <c r="E835" s="20">
        <v>4.5650000000000004</v>
      </c>
    </row>
    <row r="836" spans="1:5" x14ac:dyDescent="0.35">
      <c r="A836" s="6">
        <f t="shared" si="12"/>
        <v>1834</v>
      </c>
      <c r="B836" s="1" t="s">
        <v>3</v>
      </c>
      <c r="C836" s="20">
        <v>40.729999999999997</v>
      </c>
      <c r="D836" s="1">
        <f>Table4[[#This Row],[Quantity sold]]+5</f>
        <v>9</v>
      </c>
      <c r="E836" s="20">
        <v>14.2555</v>
      </c>
    </row>
    <row r="837" spans="1:5" x14ac:dyDescent="0.35">
      <c r="A837" s="6">
        <f t="shared" ref="A837:A900" si="13">A836+1</f>
        <v>1835</v>
      </c>
      <c r="B837" s="1" t="s">
        <v>6</v>
      </c>
      <c r="C837" s="20">
        <v>52.38</v>
      </c>
      <c r="D837" s="1">
        <f>Table4[[#This Row],[Quantity sold]]+5</f>
        <v>10</v>
      </c>
      <c r="E837" s="20">
        <v>2.6190000000000002</v>
      </c>
    </row>
    <row r="838" spans="1:5" x14ac:dyDescent="0.35">
      <c r="A838" s="6">
        <f t="shared" si="13"/>
        <v>1836</v>
      </c>
      <c r="B838" s="1" t="s">
        <v>6</v>
      </c>
      <c r="C838" s="20">
        <v>38.54</v>
      </c>
      <c r="D838" s="1">
        <f>Table4[[#This Row],[Quantity sold]]+5</f>
        <v>7</v>
      </c>
      <c r="E838" s="20">
        <v>9.6349999999999998</v>
      </c>
    </row>
    <row r="839" spans="1:5" x14ac:dyDescent="0.35">
      <c r="A839" s="6">
        <f t="shared" si="13"/>
        <v>1837</v>
      </c>
      <c r="B839" s="1" t="s">
        <v>4</v>
      </c>
      <c r="C839" s="20">
        <v>44.63</v>
      </c>
      <c r="D839" s="1">
        <f>Table4[[#This Row],[Quantity sold]]+5</f>
        <v>9</v>
      </c>
      <c r="E839" s="20">
        <v>13.388999999999999</v>
      </c>
    </row>
    <row r="840" spans="1:5" x14ac:dyDescent="0.35">
      <c r="A840" s="6">
        <f t="shared" si="13"/>
        <v>1838</v>
      </c>
      <c r="B840" s="1" t="s">
        <v>2</v>
      </c>
      <c r="C840" s="20">
        <v>55.87</v>
      </c>
      <c r="D840" s="1">
        <f>Table4[[#This Row],[Quantity sold]]+5</f>
        <v>9</v>
      </c>
      <c r="E840" s="20">
        <v>27.934999999999999</v>
      </c>
    </row>
    <row r="841" spans="1:5" x14ac:dyDescent="0.35">
      <c r="A841" s="6">
        <f t="shared" si="13"/>
        <v>1839</v>
      </c>
      <c r="B841" s="1" t="s">
        <v>4</v>
      </c>
      <c r="C841" s="20">
        <v>29.22</v>
      </c>
      <c r="D841" s="1">
        <f>Table4[[#This Row],[Quantity sold]]+5</f>
        <v>13</v>
      </c>
      <c r="E841" s="20">
        <v>8.766</v>
      </c>
    </row>
    <row r="842" spans="1:5" x14ac:dyDescent="0.35">
      <c r="A842" s="6">
        <f t="shared" si="13"/>
        <v>1840</v>
      </c>
      <c r="B842" s="1" t="s">
        <v>6</v>
      </c>
      <c r="C842" s="20">
        <v>51.94</v>
      </c>
      <c r="D842" s="1">
        <f>Table4[[#This Row],[Quantity sold]]+5</f>
        <v>7</v>
      </c>
      <c r="E842" s="20">
        <v>7.7910000000000004</v>
      </c>
    </row>
    <row r="843" spans="1:5" x14ac:dyDescent="0.35">
      <c r="A843" s="6">
        <f t="shared" si="13"/>
        <v>1841</v>
      </c>
      <c r="B843" s="1" t="s">
        <v>2</v>
      </c>
      <c r="C843" s="20">
        <v>60.3</v>
      </c>
      <c r="D843" s="1">
        <f>Table4[[#This Row],[Quantity sold]]+5</f>
        <v>13</v>
      </c>
      <c r="E843" s="20">
        <v>3.0150000000000001</v>
      </c>
    </row>
    <row r="844" spans="1:5" x14ac:dyDescent="0.35">
      <c r="A844" s="6">
        <f t="shared" si="13"/>
        <v>1842</v>
      </c>
      <c r="B844" s="1" t="s">
        <v>4</v>
      </c>
      <c r="C844" s="20">
        <v>39.47</v>
      </c>
      <c r="D844" s="1">
        <f>Table4[[#This Row],[Quantity sold]]+5</f>
        <v>7</v>
      </c>
      <c r="E844" s="20">
        <v>3.9470000000000001</v>
      </c>
    </row>
    <row r="845" spans="1:5" x14ac:dyDescent="0.35">
      <c r="A845" s="6">
        <f t="shared" si="13"/>
        <v>1843</v>
      </c>
      <c r="B845" s="1" t="s">
        <v>5</v>
      </c>
      <c r="C845" s="20">
        <v>14.87</v>
      </c>
      <c r="D845" s="1">
        <f>Table4[[#This Row],[Quantity sold]]+5</f>
        <v>8</v>
      </c>
      <c r="E845" s="20">
        <v>1.4870000000000001</v>
      </c>
    </row>
    <row r="846" spans="1:5" x14ac:dyDescent="0.35">
      <c r="A846" s="6">
        <f t="shared" si="13"/>
        <v>1844</v>
      </c>
      <c r="B846" s="1" t="s">
        <v>6</v>
      </c>
      <c r="C846" s="20">
        <v>21.32</v>
      </c>
      <c r="D846" s="1">
        <f>Table4[[#This Row],[Quantity sold]]+5</f>
        <v>15</v>
      </c>
      <c r="E846" s="20">
        <v>1.0660000000000001</v>
      </c>
    </row>
    <row r="847" spans="1:5" x14ac:dyDescent="0.35">
      <c r="A847" s="6">
        <f t="shared" si="13"/>
        <v>1845</v>
      </c>
      <c r="B847" s="1" t="s">
        <v>2</v>
      </c>
      <c r="C847" s="20">
        <v>93.78</v>
      </c>
      <c r="D847" s="1">
        <f>Table4[[#This Row],[Quantity sold]]+5</f>
        <v>10</v>
      </c>
      <c r="E847" s="20">
        <v>14.067</v>
      </c>
    </row>
    <row r="848" spans="1:5" x14ac:dyDescent="0.35">
      <c r="A848" s="6">
        <f t="shared" si="13"/>
        <v>1846</v>
      </c>
      <c r="B848" s="1" t="s">
        <v>2</v>
      </c>
      <c r="C848" s="20">
        <v>73.260000000000005</v>
      </c>
      <c r="D848" s="1">
        <f>Table4[[#This Row],[Quantity sold]]+5</f>
        <v>7</v>
      </c>
      <c r="E848" s="20">
        <v>3.6629999999999998</v>
      </c>
    </row>
    <row r="849" spans="1:5" x14ac:dyDescent="0.35">
      <c r="A849" s="6">
        <f t="shared" si="13"/>
        <v>1847</v>
      </c>
      <c r="B849" s="1" t="s">
        <v>4</v>
      </c>
      <c r="C849" s="20">
        <v>22.38</v>
      </c>
      <c r="D849" s="1">
        <f>Table4[[#This Row],[Quantity sold]]+5</f>
        <v>14</v>
      </c>
      <c r="E849" s="20">
        <v>1.119</v>
      </c>
    </row>
    <row r="850" spans="1:5" x14ac:dyDescent="0.35">
      <c r="A850" s="6">
        <f t="shared" si="13"/>
        <v>1848</v>
      </c>
      <c r="B850" s="1" t="s">
        <v>5</v>
      </c>
      <c r="C850" s="20">
        <v>72.88</v>
      </c>
      <c r="D850" s="1">
        <f>Table4[[#This Row],[Quantity sold]]+5</f>
        <v>7</v>
      </c>
      <c r="E850" s="20">
        <v>32.795999999999999</v>
      </c>
    </row>
    <row r="851" spans="1:5" x14ac:dyDescent="0.35">
      <c r="A851" s="6">
        <f t="shared" si="13"/>
        <v>1849</v>
      </c>
      <c r="B851" s="1" t="s">
        <v>6</v>
      </c>
      <c r="C851" s="20">
        <v>99.1</v>
      </c>
      <c r="D851" s="1">
        <f>Table4[[#This Row],[Quantity sold]]+5</f>
        <v>15</v>
      </c>
      <c r="E851" s="20">
        <v>29.73</v>
      </c>
    </row>
    <row r="852" spans="1:5" x14ac:dyDescent="0.35">
      <c r="A852" s="6">
        <f t="shared" si="13"/>
        <v>1850</v>
      </c>
      <c r="B852" s="1" t="s">
        <v>6</v>
      </c>
      <c r="C852" s="20">
        <v>74.099999999999994</v>
      </c>
      <c r="D852" s="1">
        <f>Table4[[#This Row],[Quantity sold]]+5</f>
        <v>7</v>
      </c>
      <c r="E852" s="20">
        <v>3.7050000000000001</v>
      </c>
    </row>
    <row r="853" spans="1:5" x14ac:dyDescent="0.35">
      <c r="A853" s="6">
        <f t="shared" si="13"/>
        <v>1851</v>
      </c>
      <c r="B853" s="1" t="s">
        <v>6</v>
      </c>
      <c r="C853" s="20">
        <v>98.48</v>
      </c>
      <c r="D853" s="1">
        <f>Table4[[#This Row],[Quantity sold]]+5</f>
        <v>8</v>
      </c>
      <c r="E853" s="20">
        <v>9.8480000000000008</v>
      </c>
    </row>
    <row r="854" spans="1:5" x14ac:dyDescent="0.35">
      <c r="A854" s="6">
        <f t="shared" si="13"/>
        <v>1852</v>
      </c>
      <c r="B854" s="1" t="s">
        <v>1</v>
      </c>
      <c r="C854" s="20">
        <v>53.19</v>
      </c>
      <c r="D854" s="1">
        <f>Table4[[#This Row],[Quantity sold]]+5</f>
        <v>13</v>
      </c>
      <c r="E854" s="20">
        <v>18.616499999999998</v>
      </c>
    </row>
    <row r="855" spans="1:5" x14ac:dyDescent="0.35">
      <c r="A855" s="6">
        <f t="shared" si="13"/>
        <v>1853</v>
      </c>
      <c r="B855" s="1" t="s">
        <v>2</v>
      </c>
      <c r="C855" s="20">
        <v>52.79</v>
      </c>
      <c r="D855" s="1">
        <f>Table4[[#This Row],[Quantity sold]]+5</f>
        <v>6</v>
      </c>
      <c r="E855" s="20">
        <v>26.395</v>
      </c>
    </row>
    <row r="856" spans="1:5" x14ac:dyDescent="0.35">
      <c r="A856" s="6">
        <f t="shared" si="13"/>
        <v>1854</v>
      </c>
      <c r="B856" s="1" t="s">
        <v>1</v>
      </c>
      <c r="C856" s="20">
        <v>95.95</v>
      </c>
      <c r="D856" s="1">
        <f>Table4[[#This Row],[Quantity sold]]+5</f>
        <v>13</v>
      </c>
      <c r="E856" s="20">
        <v>23.987500000000001</v>
      </c>
    </row>
    <row r="857" spans="1:5" x14ac:dyDescent="0.35">
      <c r="A857" s="6">
        <f t="shared" si="13"/>
        <v>1855</v>
      </c>
      <c r="B857" s="1" t="s">
        <v>6</v>
      </c>
      <c r="C857" s="20">
        <v>36.51</v>
      </c>
      <c r="D857" s="1">
        <f>Table4[[#This Row],[Quantity sold]]+5</f>
        <v>12</v>
      </c>
      <c r="E857" s="20">
        <v>16.429500000000001</v>
      </c>
    </row>
    <row r="858" spans="1:5" x14ac:dyDescent="0.35">
      <c r="A858" s="6">
        <f t="shared" si="13"/>
        <v>1856</v>
      </c>
      <c r="B858" s="1" t="s">
        <v>5</v>
      </c>
      <c r="C858" s="20">
        <v>21.12</v>
      </c>
      <c r="D858" s="1">
        <f>Table4[[#This Row],[Quantity sold]]+5</f>
        <v>7</v>
      </c>
      <c r="E858" s="20">
        <v>8.4480000000000004</v>
      </c>
    </row>
    <row r="859" spans="1:5" x14ac:dyDescent="0.35">
      <c r="A859" s="6">
        <f t="shared" si="13"/>
        <v>1857</v>
      </c>
      <c r="B859" s="1" t="s">
        <v>3</v>
      </c>
      <c r="C859" s="20">
        <v>28.31</v>
      </c>
      <c r="D859" s="1">
        <f>Table4[[#This Row],[Quantity sold]]+5</f>
        <v>7</v>
      </c>
      <c r="E859" s="20">
        <v>5.6619999999999999</v>
      </c>
    </row>
    <row r="860" spans="1:5" x14ac:dyDescent="0.35">
      <c r="A860" s="6">
        <f t="shared" si="13"/>
        <v>1858</v>
      </c>
      <c r="B860" s="1" t="s">
        <v>1</v>
      </c>
      <c r="C860" s="20">
        <v>57.59</v>
      </c>
      <c r="D860" s="1">
        <f>Table4[[#This Row],[Quantity sold]]+5</f>
        <v>11</v>
      </c>
      <c r="E860" s="20">
        <v>17.277000000000001</v>
      </c>
    </row>
    <row r="861" spans="1:5" x14ac:dyDescent="0.35">
      <c r="A861" s="6">
        <f t="shared" si="13"/>
        <v>1859</v>
      </c>
      <c r="B861" s="1" t="s">
        <v>5</v>
      </c>
      <c r="C861" s="20">
        <v>47.63</v>
      </c>
      <c r="D861" s="1">
        <f>Table4[[#This Row],[Quantity sold]]+5</f>
        <v>8</v>
      </c>
      <c r="E861" s="20">
        <v>21.433499999999999</v>
      </c>
    </row>
    <row r="862" spans="1:5" x14ac:dyDescent="0.35">
      <c r="A862" s="6">
        <f t="shared" si="13"/>
        <v>1860</v>
      </c>
      <c r="B862" s="1" t="s">
        <v>3</v>
      </c>
      <c r="C862" s="20">
        <v>86.27</v>
      </c>
      <c r="D862" s="1">
        <f>Table4[[#This Row],[Quantity sold]]+5</f>
        <v>10</v>
      </c>
      <c r="E862" s="20">
        <v>4.3135000000000003</v>
      </c>
    </row>
    <row r="863" spans="1:5" x14ac:dyDescent="0.35">
      <c r="A863" s="6">
        <f t="shared" si="13"/>
        <v>1861</v>
      </c>
      <c r="B863" s="1" t="s">
        <v>4</v>
      </c>
      <c r="C863" s="20">
        <v>12.76</v>
      </c>
      <c r="D863" s="1">
        <f>Table4[[#This Row],[Quantity sold]]+5</f>
        <v>15</v>
      </c>
      <c r="E863" s="20">
        <v>1.276</v>
      </c>
    </row>
    <row r="864" spans="1:5" x14ac:dyDescent="0.35">
      <c r="A864" s="6">
        <f t="shared" si="13"/>
        <v>1862</v>
      </c>
      <c r="B864" s="1" t="s">
        <v>3</v>
      </c>
      <c r="C864" s="20">
        <v>11.28</v>
      </c>
      <c r="D864" s="1">
        <f>Table4[[#This Row],[Quantity sold]]+5</f>
        <v>12</v>
      </c>
      <c r="E864" s="20">
        <v>5.0759999999999996</v>
      </c>
    </row>
    <row r="865" spans="1:5" x14ac:dyDescent="0.35">
      <c r="A865" s="6">
        <f t="shared" si="13"/>
        <v>1863</v>
      </c>
      <c r="B865" s="1" t="s">
        <v>3</v>
      </c>
      <c r="C865" s="20">
        <v>51.07</v>
      </c>
      <c r="D865" s="1">
        <f>Table4[[#This Row],[Quantity sold]]+5</f>
        <v>12</v>
      </c>
      <c r="E865" s="20">
        <v>17.874500000000001</v>
      </c>
    </row>
    <row r="866" spans="1:5" x14ac:dyDescent="0.35">
      <c r="A866" s="6">
        <f t="shared" si="13"/>
        <v>1864</v>
      </c>
      <c r="B866" s="1" t="s">
        <v>2</v>
      </c>
      <c r="C866" s="20">
        <v>79.59</v>
      </c>
      <c r="D866" s="1">
        <f>Table4[[#This Row],[Quantity sold]]+5</f>
        <v>10</v>
      </c>
      <c r="E866" s="20">
        <v>11.938499999999999</v>
      </c>
    </row>
    <row r="867" spans="1:5" x14ac:dyDescent="0.35">
      <c r="A867" s="6">
        <f t="shared" si="13"/>
        <v>1865</v>
      </c>
      <c r="B867" s="1" t="s">
        <v>1</v>
      </c>
      <c r="C867" s="20">
        <v>33.81</v>
      </c>
      <c r="D867" s="1">
        <f>Table4[[#This Row],[Quantity sold]]+5</f>
        <v>10</v>
      </c>
      <c r="E867" s="20">
        <v>5.0715000000000003</v>
      </c>
    </row>
    <row r="868" spans="1:5" x14ac:dyDescent="0.35">
      <c r="A868" s="6">
        <f t="shared" si="13"/>
        <v>1866</v>
      </c>
      <c r="B868" s="1" t="s">
        <v>4</v>
      </c>
      <c r="C868" s="20">
        <v>90.53</v>
      </c>
      <c r="D868" s="1">
        <f>Table4[[#This Row],[Quantity sold]]+5</f>
        <v>8</v>
      </c>
      <c r="E868" s="20">
        <v>36.212000000000003</v>
      </c>
    </row>
    <row r="869" spans="1:5" x14ac:dyDescent="0.35">
      <c r="A869" s="6">
        <f t="shared" si="13"/>
        <v>1867</v>
      </c>
      <c r="B869" s="1" t="s">
        <v>1</v>
      </c>
      <c r="C869" s="20">
        <v>62.82</v>
      </c>
      <c r="D869" s="1">
        <f>Table4[[#This Row],[Quantity sold]]+5</f>
        <v>7</v>
      </c>
      <c r="E869" s="20">
        <v>6.282</v>
      </c>
    </row>
    <row r="870" spans="1:5" x14ac:dyDescent="0.35">
      <c r="A870" s="6">
        <f t="shared" si="13"/>
        <v>1868</v>
      </c>
      <c r="B870" s="1" t="s">
        <v>5</v>
      </c>
      <c r="C870" s="20">
        <v>24.31</v>
      </c>
      <c r="D870" s="1">
        <f>Table4[[#This Row],[Quantity sold]]+5</f>
        <v>8</v>
      </c>
      <c r="E870" s="20">
        <v>3.6465000000000001</v>
      </c>
    </row>
    <row r="871" spans="1:5" x14ac:dyDescent="0.35">
      <c r="A871" s="6">
        <f t="shared" si="13"/>
        <v>1869</v>
      </c>
      <c r="B871" s="1" t="s">
        <v>4</v>
      </c>
      <c r="C871" s="20">
        <v>64.59</v>
      </c>
      <c r="D871" s="1">
        <f>Table4[[#This Row],[Quantity sold]]+5</f>
        <v>14</v>
      </c>
      <c r="E871" s="20">
        <v>12.917999999999999</v>
      </c>
    </row>
    <row r="872" spans="1:5" x14ac:dyDescent="0.35">
      <c r="A872" s="6">
        <f t="shared" si="13"/>
        <v>1870</v>
      </c>
      <c r="B872" s="1" t="s">
        <v>5</v>
      </c>
      <c r="C872" s="20">
        <v>24.82</v>
      </c>
      <c r="D872" s="1">
        <f>Table4[[#This Row],[Quantity sold]]+5</f>
        <v>15</v>
      </c>
      <c r="E872" s="20">
        <v>8.6869999999999994</v>
      </c>
    </row>
    <row r="873" spans="1:5" x14ac:dyDescent="0.35">
      <c r="A873" s="6">
        <f t="shared" si="13"/>
        <v>1871</v>
      </c>
      <c r="B873" s="1" t="s">
        <v>6</v>
      </c>
      <c r="C873" s="20">
        <v>56.5</v>
      </c>
      <c r="D873" s="1">
        <f>Table4[[#This Row],[Quantity sold]]+5</f>
        <v>12</v>
      </c>
      <c r="E873" s="20">
        <v>2.8250000000000002</v>
      </c>
    </row>
    <row r="874" spans="1:5" x14ac:dyDescent="0.35">
      <c r="A874" s="6">
        <f t="shared" si="13"/>
        <v>1872</v>
      </c>
      <c r="B874" s="1" t="s">
        <v>2</v>
      </c>
      <c r="C874" s="20">
        <v>21.43</v>
      </c>
      <c r="D874" s="1">
        <f>Table4[[#This Row],[Quantity sold]]+5</f>
        <v>10</v>
      </c>
      <c r="E874" s="20">
        <v>10.715</v>
      </c>
    </row>
    <row r="875" spans="1:5" x14ac:dyDescent="0.35">
      <c r="A875" s="6">
        <f t="shared" si="13"/>
        <v>1873</v>
      </c>
      <c r="B875" s="1" t="s">
        <v>4</v>
      </c>
      <c r="C875" s="20">
        <v>89.06</v>
      </c>
      <c r="D875" s="1">
        <f>Table4[[#This Row],[Quantity sold]]+5</f>
        <v>13</v>
      </c>
      <c r="E875" s="20">
        <v>26.718</v>
      </c>
    </row>
    <row r="876" spans="1:5" x14ac:dyDescent="0.35">
      <c r="A876" s="6">
        <f t="shared" si="13"/>
        <v>1874</v>
      </c>
      <c r="B876" s="1" t="s">
        <v>3</v>
      </c>
      <c r="C876" s="20">
        <v>23.29</v>
      </c>
      <c r="D876" s="1">
        <f>Table4[[#This Row],[Quantity sold]]+5</f>
        <v>13</v>
      </c>
      <c r="E876" s="20">
        <v>4.6580000000000004</v>
      </c>
    </row>
    <row r="877" spans="1:5" x14ac:dyDescent="0.35">
      <c r="A877" s="6">
        <f t="shared" si="13"/>
        <v>1875</v>
      </c>
      <c r="B877" s="1" t="s">
        <v>3</v>
      </c>
      <c r="C877" s="20">
        <v>65.260000000000005</v>
      </c>
      <c r="D877" s="1">
        <f>Table4[[#This Row],[Quantity sold]]+5</f>
        <v>12</v>
      </c>
      <c r="E877" s="20">
        <v>26.103999999999999</v>
      </c>
    </row>
    <row r="878" spans="1:5" x14ac:dyDescent="0.35">
      <c r="A878" s="6">
        <f t="shared" si="13"/>
        <v>1876</v>
      </c>
      <c r="B878" s="1" t="s">
        <v>6</v>
      </c>
      <c r="C878" s="20">
        <v>52.35</v>
      </c>
      <c r="D878" s="1">
        <f>Table4[[#This Row],[Quantity sold]]+5</f>
        <v>12</v>
      </c>
      <c r="E878" s="20">
        <v>2.6175000000000002</v>
      </c>
    </row>
    <row r="879" spans="1:5" x14ac:dyDescent="0.35">
      <c r="A879" s="6">
        <f t="shared" si="13"/>
        <v>1877</v>
      </c>
      <c r="B879" s="1" t="s">
        <v>2</v>
      </c>
      <c r="C879" s="20">
        <v>39.75</v>
      </c>
      <c r="D879" s="1">
        <f>Table4[[#This Row],[Quantity sold]]+5</f>
        <v>14</v>
      </c>
      <c r="E879" s="20">
        <v>1.9875</v>
      </c>
    </row>
    <row r="880" spans="1:5" x14ac:dyDescent="0.35">
      <c r="A880" s="6">
        <f t="shared" si="13"/>
        <v>1878</v>
      </c>
      <c r="B880" s="1" t="s">
        <v>2</v>
      </c>
      <c r="C880" s="20">
        <v>90.02</v>
      </c>
      <c r="D880" s="1">
        <f>Table4[[#This Row],[Quantity sold]]+5</f>
        <v>9</v>
      </c>
      <c r="E880" s="20">
        <v>36.008000000000003</v>
      </c>
    </row>
    <row r="881" spans="1:5" x14ac:dyDescent="0.35">
      <c r="A881" s="6">
        <f t="shared" si="13"/>
        <v>1879</v>
      </c>
      <c r="B881" s="1" t="s">
        <v>2</v>
      </c>
      <c r="C881" s="20">
        <v>12.1</v>
      </c>
      <c r="D881" s="1">
        <f>Table4[[#This Row],[Quantity sold]]+5</f>
        <v>6</v>
      </c>
      <c r="E881" s="20">
        <v>4.84</v>
      </c>
    </row>
    <row r="882" spans="1:5" x14ac:dyDescent="0.35">
      <c r="A882" s="6">
        <f t="shared" si="13"/>
        <v>1880</v>
      </c>
      <c r="B882" s="1" t="s">
        <v>5</v>
      </c>
      <c r="C882" s="20">
        <v>33.21</v>
      </c>
      <c r="D882" s="1">
        <f>Table4[[#This Row],[Quantity sold]]+5</f>
        <v>15</v>
      </c>
      <c r="E882" s="20">
        <v>16.605</v>
      </c>
    </row>
    <row r="883" spans="1:5" x14ac:dyDescent="0.35">
      <c r="A883" s="6">
        <f t="shared" si="13"/>
        <v>1881</v>
      </c>
      <c r="B883" s="1" t="s">
        <v>6</v>
      </c>
      <c r="C883" s="20">
        <v>10.18</v>
      </c>
      <c r="D883" s="1">
        <f>Table4[[#This Row],[Quantity sold]]+5</f>
        <v>8</v>
      </c>
      <c r="E883" s="20">
        <v>4.0720000000000001</v>
      </c>
    </row>
    <row r="884" spans="1:5" x14ac:dyDescent="0.35">
      <c r="A884" s="6">
        <f t="shared" si="13"/>
        <v>1882</v>
      </c>
      <c r="B884" s="1" t="s">
        <v>4</v>
      </c>
      <c r="C884" s="20">
        <v>31.99</v>
      </c>
      <c r="D884" s="1">
        <f>Table4[[#This Row],[Quantity sold]]+5</f>
        <v>6</v>
      </c>
      <c r="E884" s="20">
        <v>15.994999999999999</v>
      </c>
    </row>
    <row r="885" spans="1:5" x14ac:dyDescent="0.35">
      <c r="A885" s="6">
        <f t="shared" si="13"/>
        <v>1883</v>
      </c>
      <c r="B885" s="1" t="s">
        <v>3</v>
      </c>
      <c r="C885" s="20">
        <v>34.42</v>
      </c>
      <c r="D885" s="1">
        <f>Table4[[#This Row],[Quantity sold]]+5</f>
        <v>10</v>
      </c>
      <c r="E885" s="20">
        <v>10.326000000000001</v>
      </c>
    </row>
    <row r="886" spans="1:5" x14ac:dyDescent="0.35">
      <c r="A886" s="6">
        <f t="shared" si="13"/>
        <v>1884</v>
      </c>
      <c r="B886" s="1" t="s">
        <v>5</v>
      </c>
      <c r="C886" s="20">
        <v>83.34</v>
      </c>
      <c r="D886" s="1">
        <f>Table4[[#This Row],[Quantity sold]]+5</f>
        <v>9</v>
      </c>
      <c r="E886" s="20">
        <v>8.3339999999999996</v>
      </c>
    </row>
    <row r="887" spans="1:5" x14ac:dyDescent="0.35">
      <c r="A887" s="6">
        <f t="shared" si="13"/>
        <v>1885</v>
      </c>
      <c r="B887" s="1" t="s">
        <v>4</v>
      </c>
      <c r="C887" s="20">
        <v>45.58</v>
      </c>
      <c r="D887" s="1">
        <f>Table4[[#This Row],[Quantity sold]]+5</f>
        <v>8</v>
      </c>
      <c r="E887" s="20">
        <v>15.952999999999999</v>
      </c>
    </row>
    <row r="888" spans="1:5" x14ac:dyDescent="0.35">
      <c r="A888" s="6">
        <f t="shared" si="13"/>
        <v>1886</v>
      </c>
      <c r="B888" s="1" t="s">
        <v>5</v>
      </c>
      <c r="C888" s="20">
        <v>87.9</v>
      </c>
      <c r="D888" s="1">
        <f>Table4[[#This Row],[Quantity sold]]+5</f>
        <v>11</v>
      </c>
      <c r="E888" s="20">
        <v>4.3949999999999996</v>
      </c>
    </row>
    <row r="889" spans="1:5" x14ac:dyDescent="0.35">
      <c r="A889" s="6">
        <f t="shared" si="13"/>
        <v>1887</v>
      </c>
      <c r="B889" s="1" t="s">
        <v>2</v>
      </c>
      <c r="C889" s="20">
        <v>73.47</v>
      </c>
      <c r="D889" s="1">
        <f>Table4[[#This Row],[Quantity sold]]+5</f>
        <v>11</v>
      </c>
      <c r="E889" s="20">
        <v>36.734999999999999</v>
      </c>
    </row>
    <row r="890" spans="1:5" x14ac:dyDescent="0.35">
      <c r="A890" s="6">
        <f t="shared" si="13"/>
        <v>1888</v>
      </c>
      <c r="B890" s="1" t="s">
        <v>6</v>
      </c>
      <c r="C890" s="20">
        <v>12.19</v>
      </c>
      <c r="D890" s="1">
        <f>Table4[[#This Row],[Quantity sold]]+5</f>
        <v>12</v>
      </c>
      <c r="E890" s="20">
        <v>4.8760000000000003</v>
      </c>
    </row>
    <row r="891" spans="1:5" x14ac:dyDescent="0.35">
      <c r="A891" s="6">
        <f t="shared" si="13"/>
        <v>1889</v>
      </c>
      <c r="B891" s="1" t="s">
        <v>4</v>
      </c>
      <c r="C891" s="20">
        <v>76.92</v>
      </c>
      <c r="D891" s="1">
        <f>Table4[[#This Row],[Quantity sold]]+5</f>
        <v>7</v>
      </c>
      <c r="E891" s="20">
        <v>38.46</v>
      </c>
    </row>
    <row r="892" spans="1:5" x14ac:dyDescent="0.35">
      <c r="A892" s="6">
        <f t="shared" si="13"/>
        <v>1890</v>
      </c>
      <c r="B892" s="1" t="s">
        <v>1</v>
      </c>
      <c r="C892" s="20">
        <v>83.66</v>
      </c>
      <c r="D892" s="1">
        <f>Table4[[#This Row],[Quantity sold]]+5</f>
        <v>11</v>
      </c>
      <c r="E892" s="20">
        <v>20.914999999999999</v>
      </c>
    </row>
    <row r="893" spans="1:5" x14ac:dyDescent="0.35">
      <c r="A893" s="6">
        <f t="shared" si="13"/>
        <v>1891</v>
      </c>
      <c r="B893" s="1" t="s">
        <v>2</v>
      </c>
      <c r="C893" s="20">
        <v>57.91</v>
      </c>
      <c r="D893" s="1">
        <f>Table4[[#This Row],[Quantity sold]]+5</f>
        <v>8</v>
      </c>
      <c r="E893" s="20">
        <v>23.164000000000001</v>
      </c>
    </row>
    <row r="894" spans="1:5" x14ac:dyDescent="0.35">
      <c r="A894" s="6">
        <f t="shared" si="13"/>
        <v>1892</v>
      </c>
      <c r="B894" s="1" t="s">
        <v>6</v>
      </c>
      <c r="C894" s="20">
        <v>92.49</v>
      </c>
      <c r="D894" s="1">
        <f>Table4[[#This Row],[Quantity sold]]+5</f>
        <v>11</v>
      </c>
      <c r="E894" s="20">
        <v>23.122499999999999</v>
      </c>
    </row>
    <row r="895" spans="1:5" x14ac:dyDescent="0.35">
      <c r="A895" s="6">
        <f t="shared" si="13"/>
        <v>1893</v>
      </c>
      <c r="B895" s="1" t="s">
        <v>2</v>
      </c>
      <c r="C895" s="20">
        <v>28.38</v>
      </c>
      <c r="D895" s="1">
        <f>Table4[[#This Row],[Quantity sold]]+5</f>
        <v>12</v>
      </c>
      <c r="E895" s="20">
        <v>7.0949999999999998</v>
      </c>
    </row>
    <row r="896" spans="1:5" x14ac:dyDescent="0.35">
      <c r="A896" s="6">
        <f t="shared" si="13"/>
        <v>1894</v>
      </c>
      <c r="B896" s="1" t="s">
        <v>2</v>
      </c>
      <c r="C896" s="20">
        <v>50.45</v>
      </c>
      <c r="D896" s="1">
        <f>Table4[[#This Row],[Quantity sold]]+5</f>
        <v>12</v>
      </c>
      <c r="E896" s="20">
        <v>15.135</v>
      </c>
    </row>
    <row r="897" spans="1:5" x14ac:dyDescent="0.35">
      <c r="A897" s="6">
        <f t="shared" si="13"/>
        <v>1895</v>
      </c>
      <c r="B897" s="1" t="s">
        <v>1</v>
      </c>
      <c r="C897" s="20">
        <v>99.16</v>
      </c>
      <c r="D897" s="1">
        <f>Table4[[#This Row],[Quantity sold]]+5</f>
        <v>12</v>
      </c>
      <c r="E897" s="20">
        <v>39.664000000000001</v>
      </c>
    </row>
    <row r="898" spans="1:5" x14ac:dyDescent="0.35">
      <c r="A898" s="6">
        <f t="shared" si="13"/>
        <v>1896</v>
      </c>
      <c r="B898" s="1" t="s">
        <v>6</v>
      </c>
      <c r="C898" s="20">
        <v>60.74</v>
      </c>
      <c r="D898" s="1">
        <f>Table4[[#This Row],[Quantity sold]]+5</f>
        <v>10</v>
      </c>
      <c r="E898" s="20">
        <v>21.259</v>
      </c>
    </row>
    <row r="899" spans="1:5" x14ac:dyDescent="0.35">
      <c r="A899" s="6">
        <f t="shared" si="13"/>
        <v>1897</v>
      </c>
      <c r="B899" s="1" t="s">
        <v>5</v>
      </c>
      <c r="C899" s="20">
        <v>47.27</v>
      </c>
      <c r="D899" s="1">
        <f>Table4[[#This Row],[Quantity sold]]+5</f>
        <v>9</v>
      </c>
      <c r="E899" s="20">
        <v>14.180999999999999</v>
      </c>
    </row>
    <row r="900" spans="1:5" x14ac:dyDescent="0.35">
      <c r="A900" s="6">
        <f t="shared" si="13"/>
        <v>1898</v>
      </c>
      <c r="B900" s="1" t="s">
        <v>1</v>
      </c>
      <c r="C900" s="20">
        <v>85.6</v>
      </c>
      <c r="D900" s="1">
        <f>Table4[[#This Row],[Quantity sold]]+5</f>
        <v>9</v>
      </c>
      <c r="E900" s="20">
        <v>29.96</v>
      </c>
    </row>
    <row r="901" spans="1:5" x14ac:dyDescent="0.35">
      <c r="A901" s="6">
        <f t="shared" ref="A901:A964" si="14">A900+1</f>
        <v>1899</v>
      </c>
      <c r="B901" s="1" t="s">
        <v>5</v>
      </c>
      <c r="C901" s="20">
        <v>35.04</v>
      </c>
      <c r="D901" s="1">
        <f>Table4[[#This Row],[Quantity sold]]+5</f>
        <v>10</v>
      </c>
      <c r="E901" s="20">
        <v>15.768000000000001</v>
      </c>
    </row>
    <row r="902" spans="1:5" x14ac:dyDescent="0.35">
      <c r="A902" s="6">
        <f t="shared" si="14"/>
        <v>1900</v>
      </c>
      <c r="B902" s="1" t="s">
        <v>2</v>
      </c>
      <c r="C902" s="20">
        <v>44.84</v>
      </c>
      <c r="D902" s="1">
        <f>Table4[[#This Row],[Quantity sold]]+5</f>
        <v>10</v>
      </c>
      <c r="E902" s="20">
        <v>20.178000000000001</v>
      </c>
    </row>
    <row r="903" spans="1:5" x14ac:dyDescent="0.35">
      <c r="A903" s="6">
        <f t="shared" si="14"/>
        <v>1901</v>
      </c>
      <c r="B903" s="1" t="s">
        <v>3</v>
      </c>
      <c r="C903" s="20">
        <v>45.97</v>
      </c>
      <c r="D903" s="1">
        <f>Table4[[#This Row],[Quantity sold]]+5</f>
        <v>14</v>
      </c>
      <c r="E903" s="20">
        <v>9.1940000000000008</v>
      </c>
    </row>
    <row r="904" spans="1:5" x14ac:dyDescent="0.35">
      <c r="A904" s="6">
        <f t="shared" si="14"/>
        <v>1902</v>
      </c>
      <c r="B904" s="1" t="s">
        <v>1</v>
      </c>
      <c r="C904" s="20">
        <v>27.73</v>
      </c>
      <c r="D904" s="1">
        <f>Table4[[#This Row],[Quantity sold]]+5</f>
        <v>7</v>
      </c>
      <c r="E904" s="20">
        <v>6.9325000000000001</v>
      </c>
    </row>
    <row r="905" spans="1:5" x14ac:dyDescent="0.35">
      <c r="A905" s="6">
        <f t="shared" si="14"/>
        <v>1903</v>
      </c>
      <c r="B905" s="1" t="s">
        <v>5</v>
      </c>
      <c r="C905" s="20">
        <v>11.53</v>
      </c>
      <c r="D905" s="1">
        <f>Table4[[#This Row],[Quantity sold]]+5</f>
        <v>10</v>
      </c>
      <c r="E905" s="20">
        <v>4.0354999999999999</v>
      </c>
    </row>
    <row r="906" spans="1:5" x14ac:dyDescent="0.35">
      <c r="A906" s="6">
        <f t="shared" si="14"/>
        <v>1904</v>
      </c>
      <c r="B906" s="1" t="s">
        <v>1</v>
      </c>
      <c r="C906" s="20">
        <v>58.32</v>
      </c>
      <c r="D906" s="1">
        <f>Table4[[#This Row],[Quantity sold]]+5</f>
        <v>14</v>
      </c>
      <c r="E906" s="20">
        <v>5.8319999999999999</v>
      </c>
    </row>
    <row r="907" spans="1:5" x14ac:dyDescent="0.35">
      <c r="A907" s="6">
        <f t="shared" si="14"/>
        <v>1905</v>
      </c>
      <c r="B907" s="1" t="s">
        <v>3</v>
      </c>
      <c r="C907" s="20">
        <v>78.38</v>
      </c>
      <c r="D907" s="1">
        <f>Table4[[#This Row],[Quantity sold]]+5</f>
        <v>6</v>
      </c>
      <c r="E907" s="20">
        <v>15.676</v>
      </c>
    </row>
    <row r="908" spans="1:5" x14ac:dyDescent="0.35">
      <c r="A908" s="6">
        <f t="shared" si="14"/>
        <v>1906</v>
      </c>
      <c r="B908" s="1" t="s">
        <v>1</v>
      </c>
      <c r="C908" s="20">
        <v>84.61</v>
      </c>
      <c r="D908" s="1">
        <f>Table4[[#This Row],[Quantity sold]]+5</f>
        <v>8</v>
      </c>
      <c r="E908" s="20">
        <v>42.305</v>
      </c>
    </row>
    <row r="909" spans="1:5" x14ac:dyDescent="0.35">
      <c r="A909" s="6">
        <f t="shared" si="14"/>
        <v>1907</v>
      </c>
      <c r="B909" s="1" t="s">
        <v>1</v>
      </c>
      <c r="C909" s="20">
        <v>82.88</v>
      </c>
      <c r="D909" s="1">
        <f>Table4[[#This Row],[Quantity sold]]+5</f>
        <v>10</v>
      </c>
      <c r="E909" s="20">
        <v>20.72</v>
      </c>
    </row>
    <row r="910" spans="1:5" x14ac:dyDescent="0.35">
      <c r="A910" s="6">
        <f t="shared" si="14"/>
        <v>1908</v>
      </c>
      <c r="B910" s="1" t="s">
        <v>5</v>
      </c>
      <c r="C910" s="20">
        <v>79.540000000000006</v>
      </c>
      <c r="D910" s="1">
        <f>Table4[[#This Row],[Quantity sold]]+5</f>
        <v>9</v>
      </c>
      <c r="E910" s="20">
        <v>7.9539999999999997</v>
      </c>
    </row>
    <row r="911" spans="1:5" x14ac:dyDescent="0.35">
      <c r="A911" s="6">
        <f t="shared" si="14"/>
        <v>1909</v>
      </c>
      <c r="B911" s="1" t="s">
        <v>3</v>
      </c>
      <c r="C911" s="20">
        <v>49.01</v>
      </c>
      <c r="D911" s="1">
        <f>Table4[[#This Row],[Quantity sold]]+5</f>
        <v>11</v>
      </c>
      <c r="E911" s="20">
        <v>24.504999999999999</v>
      </c>
    </row>
    <row r="912" spans="1:5" x14ac:dyDescent="0.35">
      <c r="A912" s="6">
        <f t="shared" si="14"/>
        <v>1910</v>
      </c>
      <c r="B912" s="1" t="s">
        <v>5</v>
      </c>
      <c r="C912" s="20">
        <v>29.15</v>
      </c>
      <c r="D912" s="1">
        <f>Table4[[#This Row],[Quantity sold]]+5</f>
        <v>10</v>
      </c>
      <c r="E912" s="20">
        <v>4.3724999999999996</v>
      </c>
    </row>
    <row r="913" spans="1:5" x14ac:dyDescent="0.35">
      <c r="A913" s="6">
        <f t="shared" si="14"/>
        <v>1911</v>
      </c>
      <c r="B913" s="1" t="s">
        <v>2</v>
      </c>
      <c r="C913" s="20">
        <v>56.13</v>
      </c>
      <c r="D913" s="1">
        <f>Table4[[#This Row],[Quantity sold]]+5</f>
        <v>15</v>
      </c>
      <c r="E913" s="20">
        <v>11.226000000000001</v>
      </c>
    </row>
    <row r="914" spans="1:5" x14ac:dyDescent="0.35">
      <c r="A914" s="6">
        <f t="shared" si="14"/>
        <v>1912</v>
      </c>
      <c r="B914" s="1" t="s">
        <v>3</v>
      </c>
      <c r="C914" s="20">
        <v>93.12</v>
      </c>
      <c r="D914" s="1">
        <f>Table4[[#This Row],[Quantity sold]]+5</f>
        <v>9</v>
      </c>
      <c r="E914" s="20">
        <v>37.247999999999998</v>
      </c>
    </row>
    <row r="915" spans="1:5" x14ac:dyDescent="0.35">
      <c r="A915" s="6">
        <f t="shared" si="14"/>
        <v>1913</v>
      </c>
      <c r="B915" s="1" t="s">
        <v>6</v>
      </c>
      <c r="C915" s="20">
        <v>51.34</v>
      </c>
      <c r="D915" s="1">
        <f>Table4[[#This Row],[Quantity sold]]+5</f>
        <v>10</v>
      </c>
      <c r="E915" s="20">
        <v>20.536000000000001</v>
      </c>
    </row>
    <row r="916" spans="1:5" x14ac:dyDescent="0.35">
      <c r="A916" s="6">
        <f t="shared" si="14"/>
        <v>1914</v>
      </c>
      <c r="B916" s="1" t="s">
        <v>5</v>
      </c>
      <c r="C916" s="20">
        <v>99.6</v>
      </c>
      <c r="D916" s="1">
        <f>Table4[[#This Row],[Quantity sold]]+5</f>
        <v>10</v>
      </c>
      <c r="E916" s="20">
        <v>14.94</v>
      </c>
    </row>
    <row r="917" spans="1:5" x14ac:dyDescent="0.35">
      <c r="A917" s="6">
        <f t="shared" si="14"/>
        <v>1915</v>
      </c>
      <c r="B917" s="1" t="s">
        <v>2</v>
      </c>
      <c r="C917" s="20">
        <v>35.49</v>
      </c>
      <c r="D917" s="1">
        <f>Table4[[#This Row],[Quantity sold]]+5</f>
        <v>13</v>
      </c>
      <c r="E917" s="20">
        <v>10.647</v>
      </c>
    </row>
    <row r="918" spans="1:5" x14ac:dyDescent="0.35">
      <c r="A918" s="6">
        <f t="shared" si="14"/>
        <v>1916</v>
      </c>
      <c r="B918" s="1" t="s">
        <v>4</v>
      </c>
      <c r="C918" s="20">
        <v>42.85</v>
      </c>
      <c r="D918" s="1">
        <f>Table4[[#This Row],[Quantity sold]]+5</f>
        <v>11</v>
      </c>
      <c r="E918" s="20">
        <v>2.1425000000000001</v>
      </c>
    </row>
    <row r="919" spans="1:5" x14ac:dyDescent="0.35">
      <c r="A919" s="6">
        <f t="shared" si="14"/>
        <v>1917</v>
      </c>
      <c r="B919" s="1" t="s">
        <v>6</v>
      </c>
      <c r="C919" s="20">
        <v>94.67</v>
      </c>
      <c r="D919" s="1">
        <f>Table4[[#This Row],[Quantity sold]]+5</f>
        <v>10</v>
      </c>
      <c r="E919" s="20">
        <v>18.934000000000001</v>
      </c>
    </row>
    <row r="920" spans="1:5" x14ac:dyDescent="0.35">
      <c r="A920" s="6">
        <f t="shared" si="14"/>
        <v>1918</v>
      </c>
      <c r="B920" s="1" t="s">
        <v>3</v>
      </c>
      <c r="C920" s="20">
        <v>68.97</v>
      </c>
      <c r="D920" s="1">
        <f>Table4[[#This Row],[Quantity sold]]+5</f>
        <v>11</v>
      </c>
      <c r="E920" s="20">
        <v>10.345499999999999</v>
      </c>
    </row>
    <row r="921" spans="1:5" x14ac:dyDescent="0.35">
      <c r="A921" s="6">
        <f t="shared" si="14"/>
        <v>1919</v>
      </c>
      <c r="B921" s="1" t="s">
        <v>2</v>
      </c>
      <c r="C921" s="20">
        <v>26.26</v>
      </c>
      <c r="D921" s="1">
        <f>Table4[[#This Row],[Quantity sold]]+5</f>
        <v>7</v>
      </c>
      <c r="E921" s="20">
        <v>3.9390000000000001</v>
      </c>
    </row>
    <row r="922" spans="1:5" x14ac:dyDescent="0.35">
      <c r="A922" s="6">
        <f t="shared" si="14"/>
        <v>1920</v>
      </c>
      <c r="B922" s="1" t="s">
        <v>3</v>
      </c>
      <c r="C922" s="20">
        <v>35.79</v>
      </c>
      <c r="D922" s="1">
        <f>Table4[[#This Row],[Quantity sold]]+5</f>
        <v>9</v>
      </c>
      <c r="E922" s="20">
        <v>16.105499999999999</v>
      </c>
    </row>
    <row r="923" spans="1:5" x14ac:dyDescent="0.35">
      <c r="A923" s="6">
        <f t="shared" si="14"/>
        <v>1921</v>
      </c>
      <c r="B923" s="1" t="s">
        <v>3</v>
      </c>
      <c r="C923" s="20">
        <v>16.37</v>
      </c>
      <c r="D923" s="1">
        <f>Table4[[#This Row],[Quantity sold]]+5</f>
        <v>12</v>
      </c>
      <c r="E923" s="20">
        <v>4.9109999999999996</v>
      </c>
    </row>
    <row r="924" spans="1:5" x14ac:dyDescent="0.35">
      <c r="A924" s="6">
        <f t="shared" si="14"/>
        <v>1922</v>
      </c>
      <c r="B924" s="1" t="s">
        <v>3</v>
      </c>
      <c r="C924" s="20">
        <v>12.73</v>
      </c>
      <c r="D924" s="1">
        <f>Table4[[#This Row],[Quantity sold]]+5</f>
        <v>13</v>
      </c>
      <c r="E924" s="20">
        <v>1.2729999999999999</v>
      </c>
    </row>
    <row r="925" spans="1:5" x14ac:dyDescent="0.35">
      <c r="A925" s="6">
        <f t="shared" si="14"/>
        <v>1923</v>
      </c>
      <c r="B925" s="1" t="s">
        <v>4</v>
      </c>
      <c r="C925" s="20">
        <v>83.14</v>
      </c>
      <c r="D925" s="1">
        <f>Table4[[#This Row],[Quantity sold]]+5</f>
        <v>10</v>
      </c>
      <c r="E925" s="20">
        <v>29.099</v>
      </c>
    </row>
    <row r="926" spans="1:5" x14ac:dyDescent="0.35">
      <c r="A926" s="6">
        <f t="shared" si="14"/>
        <v>1924</v>
      </c>
      <c r="B926" s="1" t="s">
        <v>4</v>
      </c>
      <c r="C926" s="20">
        <v>35.22</v>
      </c>
      <c r="D926" s="1">
        <f>Table4[[#This Row],[Quantity sold]]+5</f>
        <v>9</v>
      </c>
      <c r="E926" s="20">
        <v>10.566000000000001</v>
      </c>
    </row>
    <row r="927" spans="1:5" x14ac:dyDescent="0.35">
      <c r="A927" s="6">
        <f t="shared" si="14"/>
        <v>1925</v>
      </c>
      <c r="B927" s="1" t="s">
        <v>2</v>
      </c>
      <c r="C927" s="20">
        <v>13.78</v>
      </c>
      <c r="D927" s="1">
        <f>Table4[[#This Row],[Quantity sold]]+5</f>
        <v>6</v>
      </c>
      <c r="E927" s="20">
        <v>2.7559999999999998</v>
      </c>
    </row>
    <row r="928" spans="1:5" x14ac:dyDescent="0.35">
      <c r="A928" s="6">
        <f t="shared" si="14"/>
        <v>1926</v>
      </c>
      <c r="B928" s="1" t="s">
        <v>4</v>
      </c>
      <c r="C928" s="20">
        <v>88.31</v>
      </c>
      <c r="D928" s="1">
        <f>Table4[[#This Row],[Quantity sold]]+5</f>
        <v>7</v>
      </c>
      <c r="E928" s="20">
        <v>4.4154999999999998</v>
      </c>
    </row>
    <row r="929" spans="1:5" x14ac:dyDescent="0.35">
      <c r="A929" s="6">
        <f t="shared" si="14"/>
        <v>1927</v>
      </c>
      <c r="B929" s="1" t="s">
        <v>1</v>
      </c>
      <c r="C929" s="20">
        <v>39.619999999999997</v>
      </c>
      <c r="D929" s="1">
        <f>Table4[[#This Row],[Quantity sold]]+5</f>
        <v>8</v>
      </c>
      <c r="E929" s="20">
        <v>17.829000000000001</v>
      </c>
    </row>
    <row r="930" spans="1:5" x14ac:dyDescent="0.35">
      <c r="A930" s="6">
        <f t="shared" si="14"/>
        <v>1928</v>
      </c>
      <c r="B930" s="1" t="s">
        <v>2</v>
      </c>
      <c r="C930" s="20">
        <v>88.25</v>
      </c>
      <c r="D930" s="1">
        <f>Table4[[#This Row],[Quantity sold]]+5</f>
        <v>12</v>
      </c>
      <c r="E930" s="20">
        <v>39.712499999999999</v>
      </c>
    </row>
    <row r="931" spans="1:5" x14ac:dyDescent="0.35">
      <c r="A931" s="6">
        <f t="shared" si="14"/>
        <v>1929</v>
      </c>
      <c r="B931" s="1" t="s">
        <v>4</v>
      </c>
      <c r="C931" s="20">
        <v>25.31</v>
      </c>
      <c r="D931" s="1">
        <f>Table4[[#This Row],[Quantity sold]]+5</f>
        <v>10</v>
      </c>
      <c r="E931" s="20">
        <v>2.5310000000000001</v>
      </c>
    </row>
    <row r="932" spans="1:5" x14ac:dyDescent="0.35">
      <c r="A932" s="6">
        <f t="shared" si="14"/>
        <v>1930</v>
      </c>
      <c r="B932" s="1" t="s">
        <v>3</v>
      </c>
      <c r="C932" s="20">
        <v>99.92</v>
      </c>
      <c r="D932" s="1">
        <f>Table4[[#This Row],[Quantity sold]]+5</f>
        <v>12</v>
      </c>
      <c r="E932" s="20">
        <v>29.975999999999999</v>
      </c>
    </row>
    <row r="933" spans="1:5" x14ac:dyDescent="0.35">
      <c r="A933" s="6">
        <f t="shared" si="14"/>
        <v>1931</v>
      </c>
      <c r="B933" s="1" t="s">
        <v>6</v>
      </c>
      <c r="C933" s="20">
        <v>83.35</v>
      </c>
      <c r="D933" s="1">
        <f>Table4[[#This Row],[Quantity sold]]+5</f>
        <v>12</v>
      </c>
      <c r="E933" s="20">
        <v>8.3350000000000009</v>
      </c>
    </row>
    <row r="934" spans="1:5" x14ac:dyDescent="0.35">
      <c r="A934" s="6">
        <f t="shared" si="14"/>
        <v>1932</v>
      </c>
      <c r="B934" s="1" t="s">
        <v>5</v>
      </c>
      <c r="C934" s="20">
        <v>74.44</v>
      </c>
      <c r="D934" s="1">
        <f>Table4[[#This Row],[Quantity sold]]+5</f>
        <v>15</v>
      </c>
      <c r="E934" s="20">
        <v>37.22</v>
      </c>
    </row>
    <row r="935" spans="1:5" x14ac:dyDescent="0.35">
      <c r="A935" s="6">
        <f t="shared" si="14"/>
        <v>1933</v>
      </c>
      <c r="B935" s="1" t="s">
        <v>1</v>
      </c>
      <c r="C935" s="20">
        <v>64.08</v>
      </c>
      <c r="D935" s="1">
        <f>Table4[[#This Row],[Quantity sold]]+5</f>
        <v>10</v>
      </c>
      <c r="E935" s="20">
        <v>22.428000000000001</v>
      </c>
    </row>
    <row r="936" spans="1:5" x14ac:dyDescent="0.35">
      <c r="A936" s="6">
        <f t="shared" si="14"/>
        <v>1934</v>
      </c>
      <c r="B936" s="1" t="s">
        <v>3</v>
      </c>
      <c r="C936" s="20">
        <v>63.15</v>
      </c>
      <c r="D936" s="1">
        <f>Table4[[#This Row],[Quantity sold]]+5</f>
        <v>8</v>
      </c>
      <c r="E936" s="20">
        <v>18.945</v>
      </c>
    </row>
    <row r="937" spans="1:5" x14ac:dyDescent="0.35">
      <c r="A937" s="6">
        <f t="shared" si="14"/>
        <v>1935</v>
      </c>
      <c r="B937" s="1" t="s">
        <v>3</v>
      </c>
      <c r="C937" s="20">
        <v>85.72</v>
      </c>
      <c r="D937" s="1">
        <f>Table4[[#This Row],[Quantity sold]]+5</f>
        <v>9</v>
      </c>
      <c r="E937" s="20">
        <v>12.858000000000001</v>
      </c>
    </row>
    <row r="938" spans="1:5" x14ac:dyDescent="0.35">
      <c r="A938" s="6">
        <f t="shared" si="14"/>
        <v>1936</v>
      </c>
      <c r="B938" s="1" t="s">
        <v>1</v>
      </c>
      <c r="C938" s="20">
        <v>78.89</v>
      </c>
      <c r="D938" s="1">
        <f>Table4[[#This Row],[Quantity sold]]+5</f>
        <v>9</v>
      </c>
      <c r="E938" s="20">
        <v>27.611499999999999</v>
      </c>
    </row>
    <row r="939" spans="1:5" x14ac:dyDescent="0.35">
      <c r="A939" s="6">
        <f t="shared" si="14"/>
        <v>1937</v>
      </c>
      <c r="B939" s="1" t="s">
        <v>4</v>
      </c>
      <c r="C939" s="20">
        <v>89.48</v>
      </c>
      <c r="D939" s="1">
        <f>Table4[[#This Row],[Quantity sold]]+5</f>
        <v>11</v>
      </c>
      <c r="E939" s="20">
        <v>22.37</v>
      </c>
    </row>
    <row r="940" spans="1:5" x14ac:dyDescent="0.35">
      <c r="A940" s="6">
        <f t="shared" si="14"/>
        <v>1938</v>
      </c>
      <c r="B940" s="1" t="s">
        <v>1</v>
      </c>
      <c r="C940" s="20">
        <v>92.09</v>
      </c>
      <c r="D940" s="1">
        <f>Table4[[#This Row],[Quantity sold]]+5</f>
        <v>12</v>
      </c>
      <c r="E940" s="20">
        <v>13.813499999999999</v>
      </c>
    </row>
    <row r="941" spans="1:5" x14ac:dyDescent="0.35">
      <c r="A941" s="6">
        <f t="shared" si="14"/>
        <v>1939</v>
      </c>
      <c r="B941" s="1" t="s">
        <v>5</v>
      </c>
      <c r="C941" s="20">
        <v>57.29</v>
      </c>
      <c r="D941" s="1">
        <f>Table4[[#This Row],[Quantity sold]]+5</f>
        <v>6</v>
      </c>
      <c r="E941" s="20">
        <v>17.187000000000001</v>
      </c>
    </row>
    <row r="942" spans="1:5" x14ac:dyDescent="0.35">
      <c r="A942" s="6">
        <f t="shared" si="14"/>
        <v>1940</v>
      </c>
      <c r="B942" s="1" t="s">
        <v>5</v>
      </c>
      <c r="C942" s="20">
        <v>66.52</v>
      </c>
      <c r="D942" s="1">
        <f>Table4[[#This Row],[Quantity sold]]+5</f>
        <v>10</v>
      </c>
      <c r="E942" s="20">
        <v>13.304</v>
      </c>
    </row>
    <row r="943" spans="1:5" x14ac:dyDescent="0.35">
      <c r="A943" s="6">
        <f t="shared" si="14"/>
        <v>1941</v>
      </c>
      <c r="B943" s="1" t="s">
        <v>6</v>
      </c>
      <c r="C943" s="20">
        <v>99.82</v>
      </c>
      <c r="D943" s="1">
        <f>Table4[[#This Row],[Quantity sold]]+5</f>
        <v>14</v>
      </c>
      <c r="E943" s="20">
        <v>44.918999999999997</v>
      </c>
    </row>
    <row r="944" spans="1:5" x14ac:dyDescent="0.35">
      <c r="A944" s="6">
        <f t="shared" si="14"/>
        <v>1942</v>
      </c>
      <c r="B944" s="1" t="s">
        <v>3</v>
      </c>
      <c r="C944" s="20">
        <v>45.68</v>
      </c>
      <c r="D944" s="1">
        <f>Table4[[#This Row],[Quantity sold]]+5</f>
        <v>14</v>
      </c>
      <c r="E944" s="20">
        <v>22.84</v>
      </c>
    </row>
    <row r="945" spans="1:5" x14ac:dyDescent="0.35">
      <c r="A945" s="6">
        <f t="shared" si="14"/>
        <v>1943</v>
      </c>
      <c r="B945" s="1" t="s">
        <v>1</v>
      </c>
      <c r="C945" s="20">
        <v>50.79</v>
      </c>
      <c r="D945" s="1">
        <f>Table4[[#This Row],[Quantity sold]]+5</f>
        <v>15</v>
      </c>
      <c r="E945" s="20">
        <v>12.6975</v>
      </c>
    </row>
    <row r="946" spans="1:5" x14ac:dyDescent="0.35">
      <c r="A946" s="6">
        <f t="shared" si="14"/>
        <v>1944</v>
      </c>
      <c r="B946" s="1" t="s">
        <v>1</v>
      </c>
      <c r="C946" s="20">
        <v>10.08</v>
      </c>
      <c r="D946" s="1">
        <f>Table4[[#This Row],[Quantity sold]]+5</f>
        <v>8</v>
      </c>
      <c r="E946" s="20">
        <v>3.528</v>
      </c>
    </row>
    <row r="947" spans="1:5" x14ac:dyDescent="0.35">
      <c r="A947" s="6">
        <f t="shared" si="14"/>
        <v>1945</v>
      </c>
      <c r="B947" s="1" t="s">
        <v>2</v>
      </c>
      <c r="C947" s="20">
        <v>93.88</v>
      </c>
      <c r="D947" s="1">
        <f>Table4[[#This Row],[Quantity sold]]+5</f>
        <v>13</v>
      </c>
      <c r="E947" s="20">
        <v>32.857999999999997</v>
      </c>
    </row>
    <row r="948" spans="1:5" x14ac:dyDescent="0.35">
      <c r="A948" s="6">
        <f t="shared" si="14"/>
        <v>1946</v>
      </c>
      <c r="B948" s="1" t="s">
        <v>2</v>
      </c>
      <c r="C948" s="20">
        <v>84.25</v>
      </c>
      <c r="D948" s="1">
        <f>Table4[[#This Row],[Quantity sold]]+5</f>
        <v>9</v>
      </c>
      <c r="E948" s="20">
        <v>8.4250000000000007</v>
      </c>
    </row>
    <row r="949" spans="1:5" x14ac:dyDescent="0.35">
      <c r="A949" s="6">
        <f t="shared" si="14"/>
        <v>1947</v>
      </c>
      <c r="B949" s="1" t="s">
        <v>6</v>
      </c>
      <c r="C949" s="20">
        <v>53.78</v>
      </c>
      <c r="D949" s="1">
        <f>Table4[[#This Row],[Quantity sold]]+5</f>
        <v>13</v>
      </c>
      <c r="E949" s="20">
        <v>2.6890000000000001</v>
      </c>
    </row>
    <row r="950" spans="1:5" x14ac:dyDescent="0.35">
      <c r="A950" s="6">
        <f t="shared" si="14"/>
        <v>1948</v>
      </c>
      <c r="B950" s="1" t="s">
        <v>3</v>
      </c>
      <c r="C950" s="20">
        <v>35.81</v>
      </c>
      <c r="D950" s="1">
        <f>Table4[[#This Row],[Quantity sold]]+5</f>
        <v>10</v>
      </c>
      <c r="E950" s="20">
        <v>8.9525000000000006</v>
      </c>
    </row>
    <row r="951" spans="1:5" x14ac:dyDescent="0.35">
      <c r="A951" s="6">
        <f t="shared" si="14"/>
        <v>1949</v>
      </c>
      <c r="B951" s="1" t="s">
        <v>5</v>
      </c>
      <c r="C951" s="20">
        <v>26.43</v>
      </c>
      <c r="D951" s="1">
        <f>Table4[[#This Row],[Quantity sold]]+5</f>
        <v>9</v>
      </c>
      <c r="E951" s="20">
        <v>10.571999999999999</v>
      </c>
    </row>
    <row r="952" spans="1:5" x14ac:dyDescent="0.35">
      <c r="A952" s="6">
        <f t="shared" si="14"/>
        <v>1950</v>
      </c>
      <c r="B952" s="1" t="s">
        <v>1</v>
      </c>
      <c r="C952" s="20">
        <v>39.909999999999997</v>
      </c>
      <c r="D952" s="1">
        <f>Table4[[#This Row],[Quantity sold]]+5</f>
        <v>15</v>
      </c>
      <c r="E952" s="20">
        <v>5.9865000000000004</v>
      </c>
    </row>
    <row r="953" spans="1:5" x14ac:dyDescent="0.35">
      <c r="A953" s="6">
        <f t="shared" si="14"/>
        <v>1951</v>
      </c>
      <c r="B953" s="1" t="s">
        <v>3</v>
      </c>
      <c r="C953" s="20">
        <v>21.9</v>
      </c>
      <c r="D953" s="1">
        <f>Table4[[#This Row],[Quantity sold]]+5</f>
        <v>10</v>
      </c>
      <c r="E953" s="20">
        <v>3.2850000000000001</v>
      </c>
    </row>
    <row r="954" spans="1:5" x14ac:dyDescent="0.35">
      <c r="A954" s="6">
        <f t="shared" si="14"/>
        <v>1952</v>
      </c>
      <c r="B954" s="1" t="s">
        <v>5</v>
      </c>
      <c r="C954" s="20">
        <v>62.85</v>
      </c>
      <c r="D954" s="1">
        <f>Table4[[#This Row],[Quantity sold]]+5</f>
        <v>6</v>
      </c>
      <c r="E954" s="20">
        <v>12.57</v>
      </c>
    </row>
    <row r="955" spans="1:5" x14ac:dyDescent="0.35">
      <c r="A955" s="6">
        <f t="shared" si="14"/>
        <v>1953</v>
      </c>
      <c r="B955" s="1" t="s">
        <v>5</v>
      </c>
      <c r="C955" s="20">
        <v>21.04</v>
      </c>
      <c r="D955" s="1">
        <f>Table4[[#This Row],[Quantity sold]]+5</f>
        <v>7</v>
      </c>
      <c r="E955" s="20">
        <v>4.2080000000000002</v>
      </c>
    </row>
    <row r="956" spans="1:5" x14ac:dyDescent="0.35">
      <c r="A956" s="6">
        <f t="shared" si="14"/>
        <v>1954</v>
      </c>
      <c r="B956" s="1" t="s">
        <v>3</v>
      </c>
      <c r="C956" s="20">
        <v>65.91</v>
      </c>
      <c r="D956" s="1">
        <f>Table4[[#This Row],[Quantity sold]]+5</f>
        <v>11</v>
      </c>
      <c r="E956" s="20">
        <v>19.773</v>
      </c>
    </row>
    <row r="957" spans="1:5" x14ac:dyDescent="0.35">
      <c r="A957" s="6">
        <f t="shared" si="14"/>
        <v>1955</v>
      </c>
      <c r="B957" s="1" t="s">
        <v>6</v>
      </c>
      <c r="C957" s="20">
        <v>42.57</v>
      </c>
      <c r="D957" s="1">
        <f>Table4[[#This Row],[Quantity sold]]+5</f>
        <v>10</v>
      </c>
      <c r="E957" s="20">
        <v>14.8995</v>
      </c>
    </row>
    <row r="958" spans="1:5" x14ac:dyDescent="0.35">
      <c r="A958" s="6">
        <f t="shared" si="14"/>
        <v>1956</v>
      </c>
      <c r="B958" s="1" t="s">
        <v>5</v>
      </c>
      <c r="C958" s="20">
        <v>50.49</v>
      </c>
      <c r="D958" s="1">
        <f>Table4[[#This Row],[Quantity sold]]+5</f>
        <v>15</v>
      </c>
      <c r="E958" s="20">
        <v>22.720500000000001</v>
      </c>
    </row>
    <row r="959" spans="1:5" x14ac:dyDescent="0.35">
      <c r="A959" s="6">
        <f t="shared" si="14"/>
        <v>1957</v>
      </c>
      <c r="B959" s="1" t="s">
        <v>2</v>
      </c>
      <c r="C959" s="20">
        <v>46.02</v>
      </c>
      <c r="D959" s="1">
        <f>Table4[[#This Row],[Quantity sold]]+5</f>
        <v>15</v>
      </c>
      <c r="E959" s="20">
        <v>13.805999999999999</v>
      </c>
    </row>
    <row r="960" spans="1:5" x14ac:dyDescent="0.35">
      <c r="A960" s="6">
        <f t="shared" si="14"/>
        <v>1958</v>
      </c>
      <c r="B960" s="1" t="s">
        <v>3</v>
      </c>
      <c r="C960" s="20">
        <v>15.8</v>
      </c>
      <c r="D960" s="1">
        <f>Table4[[#This Row],[Quantity sold]]+5</f>
        <v>7</v>
      </c>
      <c r="E960" s="20">
        <v>7.9</v>
      </c>
    </row>
    <row r="961" spans="1:5" x14ac:dyDescent="0.35">
      <c r="A961" s="6">
        <f t="shared" si="14"/>
        <v>1959</v>
      </c>
      <c r="B961" s="1" t="s">
        <v>5</v>
      </c>
      <c r="C961" s="20">
        <v>98.66</v>
      </c>
      <c r="D961" s="1">
        <f>Table4[[#This Row],[Quantity sold]]+5</f>
        <v>13</v>
      </c>
      <c r="E961" s="20">
        <v>44.396999999999998</v>
      </c>
    </row>
    <row r="962" spans="1:5" x14ac:dyDescent="0.35">
      <c r="A962" s="6">
        <f t="shared" si="14"/>
        <v>1960</v>
      </c>
      <c r="B962" s="1" t="s">
        <v>6</v>
      </c>
      <c r="C962" s="20">
        <v>91.98</v>
      </c>
      <c r="D962" s="1">
        <f>Table4[[#This Row],[Quantity sold]]+5</f>
        <v>11</v>
      </c>
      <c r="E962" s="20">
        <v>4.5990000000000002</v>
      </c>
    </row>
    <row r="963" spans="1:5" x14ac:dyDescent="0.35">
      <c r="A963" s="6">
        <f t="shared" si="14"/>
        <v>1961</v>
      </c>
      <c r="B963" s="1" t="s">
        <v>2</v>
      </c>
      <c r="C963" s="20">
        <v>20.89</v>
      </c>
      <c r="D963" s="1">
        <f>Table4[[#This Row],[Quantity sold]]+5</f>
        <v>10</v>
      </c>
      <c r="E963" s="20">
        <v>2.089</v>
      </c>
    </row>
    <row r="964" spans="1:5" x14ac:dyDescent="0.35">
      <c r="A964" s="6">
        <f t="shared" si="14"/>
        <v>1962</v>
      </c>
      <c r="B964" s="1" t="s">
        <v>6</v>
      </c>
      <c r="C964" s="20">
        <v>15.5</v>
      </c>
      <c r="D964" s="1">
        <f>Table4[[#This Row],[Quantity sold]]+5</f>
        <v>13</v>
      </c>
      <c r="E964" s="20">
        <v>0.77500000000000002</v>
      </c>
    </row>
    <row r="965" spans="1:5" x14ac:dyDescent="0.35">
      <c r="A965" s="6">
        <f t="shared" ref="A965:A1001" si="15">A964+1</f>
        <v>1963</v>
      </c>
      <c r="B965" s="1" t="s">
        <v>2</v>
      </c>
      <c r="C965" s="20">
        <v>96.82</v>
      </c>
      <c r="D965" s="1">
        <f>Table4[[#This Row],[Quantity sold]]+5</f>
        <v>15</v>
      </c>
      <c r="E965" s="20">
        <v>14.523</v>
      </c>
    </row>
    <row r="966" spans="1:5" x14ac:dyDescent="0.35">
      <c r="A966" s="6">
        <f t="shared" si="15"/>
        <v>1964</v>
      </c>
      <c r="B966" s="1" t="s">
        <v>5</v>
      </c>
      <c r="C966" s="20">
        <v>33.33</v>
      </c>
      <c r="D966" s="1">
        <f>Table4[[#This Row],[Quantity sold]]+5</f>
        <v>13</v>
      </c>
      <c r="E966" s="20">
        <v>3.3330000000000002</v>
      </c>
    </row>
    <row r="967" spans="1:5" x14ac:dyDescent="0.35">
      <c r="A967" s="6">
        <f t="shared" si="15"/>
        <v>1965</v>
      </c>
      <c r="B967" s="1" t="s">
        <v>2</v>
      </c>
      <c r="C967" s="20">
        <v>38.270000000000003</v>
      </c>
      <c r="D967" s="1">
        <f>Table4[[#This Row],[Quantity sold]]+5</f>
        <v>10</v>
      </c>
      <c r="E967" s="20">
        <v>3.827</v>
      </c>
    </row>
    <row r="968" spans="1:5" x14ac:dyDescent="0.35">
      <c r="A968" s="6">
        <f t="shared" si="15"/>
        <v>1966</v>
      </c>
      <c r="B968" s="1" t="s">
        <v>3</v>
      </c>
      <c r="C968" s="20">
        <v>33.299999999999997</v>
      </c>
      <c r="D968" s="1">
        <f>Table4[[#This Row],[Quantity sold]]+5</f>
        <v>8</v>
      </c>
      <c r="E968" s="20">
        <v>14.984999999999999</v>
      </c>
    </row>
    <row r="969" spans="1:5" x14ac:dyDescent="0.35">
      <c r="A969" s="6">
        <f t="shared" si="15"/>
        <v>1967</v>
      </c>
      <c r="B969" s="1" t="s">
        <v>3</v>
      </c>
      <c r="C969" s="20">
        <v>81.010000000000005</v>
      </c>
      <c r="D969" s="1">
        <f>Table4[[#This Row],[Quantity sold]]+5</f>
        <v>13</v>
      </c>
      <c r="E969" s="20">
        <v>12.1515</v>
      </c>
    </row>
    <row r="970" spans="1:5" x14ac:dyDescent="0.35">
      <c r="A970" s="6">
        <f t="shared" si="15"/>
        <v>1968</v>
      </c>
      <c r="B970" s="1" t="s">
        <v>1</v>
      </c>
      <c r="C970" s="20">
        <v>15.8</v>
      </c>
      <c r="D970" s="1">
        <f>Table4[[#This Row],[Quantity sold]]+5</f>
        <v>10</v>
      </c>
      <c r="E970" s="20">
        <v>2.37</v>
      </c>
    </row>
    <row r="971" spans="1:5" x14ac:dyDescent="0.35">
      <c r="A971" s="6">
        <f t="shared" si="15"/>
        <v>1969</v>
      </c>
      <c r="B971" s="1" t="s">
        <v>2</v>
      </c>
      <c r="C971" s="20">
        <v>34.49</v>
      </c>
      <c r="D971" s="1">
        <f>Table4[[#This Row],[Quantity sold]]+5</f>
        <v>9</v>
      </c>
      <c r="E971" s="20">
        <v>8.6225000000000005</v>
      </c>
    </row>
    <row r="972" spans="1:5" x14ac:dyDescent="0.35">
      <c r="A972" s="6">
        <f t="shared" si="15"/>
        <v>1970</v>
      </c>
      <c r="B972" s="1" t="s">
        <v>5</v>
      </c>
      <c r="C972" s="20">
        <v>84.63</v>
      </c>
      <c r="D972" s="1">
        <f>Table4[[#This Row],[Quantity sold]]+5</f>
        <v>12</v>
      </c>
      <c r="E972" s="20">
        <v>42.314999999999998</v>
      </c>
    </row>
    <row r="973" spans="1:5" x14ac:dyDescent="0.35">
      <c r="A973" s="6">
        <f t="shared" si="15"/>
        <v>1971</v>
      </c>
      <c r="B973" s="1" t="s">
        <v>3</v>
      </c>
      <c r="C973" s="20">
        <v>36.909999999999997</v>
      </c>
      <c r="D973" s="1">
        <f>Table4[[#This Row],[Quantity sold]]+5</f>
        <v>7</v>
      </c>
      <c r="E973" s="20">
        <v>12.9185</v>
      </c>
    </row>
    <row r="974" spans="1:5" x14ac:dyDescent="0.35">
      <c r="A974" s="6">
        <f t="shared" si="15"/>
        <v>1972</v>
      </c>
      <c r="B974" s="1" t="s">
        <v>2</v>
      </c>
      <c r="C974" s="20">
        <v>87.08</v>
      </c>
      <c r="D974" s="1">
        <f>Table4[[#This Row],[Quantity sold]]+5</f>
        <v>13</v>
      </c>
      <c r="E974" s="20">
        <v>30.478000000000002</v>
      </c>
    </row>
    <row r="975" spans="1:5" x14ac:dyDescent="0.35">
      <c r="A975" s="6">
        <f t="shared" si="15"/>
        <v>1973</v>
      </c>
      <c r="B975" s="1" t="s">
        <v>3</v>
      </c>
      <c r="C975" s="20">
        <v>80.08</v>
      </c>
      <c r="D975" s="1">
        <f>Table4[[#This Row],[Quantity sold]]+5</f>
        <v>8</v>
      </c>
      <c r="E975" s="20">
        <v>12.012</v>
      </c>
    </row>
    <row r="976" spans="1:5" x14ac:dyDescent="0.35">
      <c r="A976" s="6">
        <f t="shared" si="15"/>
        <v>1974</v>
      </c>
      <c r="B976" s="1" t="s">
        <v>6</v>
      </c>
      <c r="C976" s="20">
        <v>86.13</v>
      </c>
      <c r="D976" s="1">
        <f>Table4[[#This Row],[Quantity sold]]+5</f>
        <v>6</v>
      </c>
      <c r="E976" s="20">
        <v>8.6129999999999995</v>
      </c>
    </row>
    <row r="977" spans="1:5" x14ac:dyDescent="0.35">
      <c r="A977" s="6">
        <f t="shared" si="15"/>
        <v>1975</v>
      </c>
      <c r="B977" s="1" t="s">
        <v>6</v>
      </c>
      <c r="C977" s="20">
        <v>49.92</v>
      </c>
      <c r="D977" s="1">
        <f>Table4[[#This Row],[Quantity sold]]+5</f>
        <v>13</v>
      </c>
      <c r="E977" s="20">
        <v>4.992</v>
      </c>
    </row>
    <row r="978" spans="1:5" x14ac:dyDescent="0.35">
      <c r="A978" s="6">
        <f t="shared" si="15"/>
        <v>1976</v>
      </c>
      <c r="B978" s="1" t="s">
        <v>5</v>
      </c>
      <c r="C978" s="20">
        <v>74.66</v>
      </c>
      <c r="D978" s="1">
        <f>Table4[[#This Row],[Quantity sold]]+5</f>
        <v>10</v>
      </c>
      <c r="E978" s="20">
        <v>14.932</v>
      </c>
    </row>
    <row r="979" spans="1:5" x14ac:dyDescent="0.35">
      <c r="A979" s="6">
        <f t="shared" si="15"/>
        <v>1977</v>
      </c>
      <c r="B979" s="1" t="s">
        <v>5</v>
      </c>
      <c r="C979" s="20">
        <v>26.6</v>
      </c>
      <c r="D979" s="1">
        <f>Table4[[#This Row],[Quantity sold]]+5</f>
        <v>13</v>
      </c>
      <c r="E979" s="20">
        <v>7.98</v>
      </c>
    </row>
    <row r="980" spans="1:5" x14ac:dyDescent="0.35">
      <c r="A980" s="6">
        <f t="shared" si="15"/>
        <v>1978</v>
      </c>
      <c r="B980" s="1" t="s">
        <v>2</v>
      </c>
      <c r="C980" s="20">
        <v>25.45</v>
      </c>
      <c r="D980" s="1">
        <f>Table4[[#This Row],[Quantity sold]]+5</f>
        <v>7</v>
      </c>
      <c r="E980" s="20">
        <v>1.2725</v>
      </c>
    </row>
    <row r="981" spans="1:5" x14ac:dyDescent="0.35">
      <c r="A981" s="6">
        <f t="shared" si="15"/>
        <v>1979</v>
      </c>
      <c r="B981" s="1" t="s">
        <v>5</v>
      </c>
      <c r="C981" s="20">
        <v>67.77</v>
      </c>
      <c r="D981" s="1">
        <f>Table4[[#This Row],[Quantity sold]]+5</f>
        <v>10</v>
      </c>
      <c r="E981" s="20">
        <v>3.3885000000000001</v>
      </c>
    </row>
    <row r="982" spans="1:5" x14ac:dyDescent="0.35">
      <c r="A982" s="6">
        <f t="shared" si="15"/>
        <v>1980</v>
      </c>
      <c r="B982" s="1" t="s">
        <v>5</v>
      </c>
      <c r="C982" s="20">
        <v>59.59</v>
      </c>
      <c r="D982" s="1">
        <f>Table4[[#This Row],[Quantity sold]]+5</f>
        <v>9</v>
      </c>
      <c r="E982" s="20">
        <v>11.917999999999999</v>
      </c>
    </row>
    <row r="983" spans="1:5" x14ac:dyDescent="0.35">
      <c r="A983" s="6">
        <f t="shared" si="15"/>
        <v>1981</v>
      </c>
      <c r="B983" s="1" t="s">
        <v>1</v>
      </c>
      <c r="C983" s="20">
        <v>58.15</v>
      </c>
      <c r="D983" s="1">
        <f>Table4[[#This Row],[Quantity sold]]+5</f>
        <v>10</v>
      </c>
      <c r="E983" s="20">
        <v>11.63</v>
      </c>
    </row>
    <row r="984" spans="1:5" x14ac:dyDescent="0.35">
      <c r="A984" s="6">
        <f t="shared" si="15"/>
        <v>1982</v>
      </c>
      <c r="B984" s="1" t="s">
        <v>4</v>
      </c>
      <c r="C984" s="20">
        <v>97.48</v>
      </c>
      <c r="D984" s="1">
        <f>Table4[[#This Row],[Quantity sold]]+5</f>
        <v>11</v>
      </c>
      <c r="E984" s="20">
        <v>43.866</v>
      </c>
    </row>
    <row r="985" spans="1:5" x14ac:dyDescent="0.35">
      <c r="A985" s="6">
        <f t="shared" si="15"/>
        <v>1983</v>
      </c>
      <c r="B985" s="1" t="s">
        <v>1</v>
      </c>
      <c r="C985" s="20">
        <v>99.96</v>
      </c>
      <c r="D985" s="1">
        <f>Table4[[#This Row],[Quantity sold]]+5</f>
        <v>11</v>
      </c>
      <c r="E985" s="20">
        <v>34.985999999999997</v>
      </c>
    </row>
    <row r="986" spans="1:5" x14ac:dyDescent="0.35">
      <c r="A986" s="6">
        <f t="shared" si="15"/>
        <v>1984</v>
      </c>
      <c r="B986" s="1" t="s">
        <v>2</v>
      </c>
      <c r="C986" s="20">
        <v>96.37</v>
      </c>
      <c r="D986" s="1">
        <f>Table4[[#This Row],[Quantity sold]]+5</f>
        <v>11</v>
      </c>
      <c r="E986" s="20">
        <v>33.729500000000002</v>
      </c>
    </row>
    <row r="987" spans="1:5" x14ac:dyDescent="0.35">
      <c r="A987" s="6">
        <f t="shared" si="15"/>
        <v>1985</v>
      </c>
      <c r="B987" s="1" t="s">
        <v>6</v>
      </c>
      <c r="C987" s="20">
        <v>63.71</v>
      </c>
      <c r="D987" s="1">
        <f>Table4[[#This Row],[Quantity sold]]+5</f>
        <v>12</v>
      </c>
      <c r="E987" s="20">
        <v>15.9275</v>
      </c>
    </row>
    <row r="988" spans="1:5" x14ac:dyDescent="0.35">
      <c r="A988" s="6">
        <f t="shared" si="15"/>
        <v>1986</v>
      </c>
      <c r="B988" s="1" t="s">
        <v>1</v>
      </c>
      <c r="C988" s="20">
        <v>14.76</v>
      </c>
      <c r="D988" s="1">
        <f>Table4[[#This Row],[Quantity sold]]+5</f>
        <v>8</v>
      </c>
      <c r="E988" s="20">
        <v>1.476</v>
      </c>
    </row>
    <row r="989" spans="1:5" x14ac:dyDescent="0.35">
      <c r="A989" s="6">
        <f t="shared" si="15"/>
        <v>1987</v>
      </c>
      <c r="B989" s="1" t="s">
        <v>1</v>
      </c>
      <c r="C989" s="20">
        <v>62</v>
      </c>
      <c r="D989" s="1">
        <f>Table4[[#This Row],[Quantity sold]]+5</f>
        <v>12</v>
      </c>
      <c r="E989" s="20">
        <v>24.8</v>
      </c>
    </row>
    <row r="990" spans="1:5" x14ac:dyDescent="0.35">
      <c r="A990" s="6">
        <f t="shared" si="15"/>
        <v>1988</v>
      </c>
      <c r="B990" s="1" t="s">
        <v>2</v>
      </c>
      <c r="C990" s="20">
        <v>82.34</v>
      </c>
      <c r="D990" s="1">
        <f>Table4[[#This Row],[Quantity sold]]+5</f>
        <v>11</v>
      </c>
      <c r="E990" s="20">
        <v>41.17</v>
      </c>
    </row>
    <row r="991" spans="1:5" x14ac:dyDescent="0.35">
      <c r="A991" s="6">
        <f t="shared" si="15"/>
        <v>1989</v>
      </c>
      <c r="B991" s="1" t="s">
        <v>1</v>
      </c>
      <c r="C991" s="20">
        <v>75.37</v>
      </c>
      <c r="D991" s="1">
        <f>Table4[[#This Row],[Quantity sold]]+5</f>
        <v>9</v>
      </c>
      <c r="E991" s="20">
        <v>30.148</v>
      </c>
    </row>
    <row r="992" spans="1:5" x14ac:dyDescent="0.35">
      <c r="A992" s="6">
        <f t="shared" si="15"/>
        <v>1990</v>
      </c>
      <c r="B992" s="1" t="s">
        <v>5</v>
      </c>
      <c r="C992" s="20">
        <v>56.56</v>
      </c>
      <c r="D992" s="1">
        <f>Table4[[#This Row],[Quantity sold]]+5</f>
        <v>14</v>
      </c>
      <c r="E992" s="20">
        <v>14.14</v>
      </c>
    </row>
    <row r="993" spans="1:5" x14ac:dyDescent="0.35">
      <c r="A993" s="6">
        <f t="shared" si="15"/>
        <v>1991</v>
      </c>
      <c r="B993" s="1" t="s">
        <v>4</v>
      </c>
      <c r="C993" s="20">
        <v>76.599999999999994</v>
      </c>
      <c r="D993" s="1">
        <f>Table4[[#This Row],[Quantity sold]]+5</f>
        <v>10</v>
      </c>
      <c r="E993" s="20">
        <v>38.299999999999997</v>
      </c>
    </row>
    <row r="994" spans="1:5" x14ac:dyDescent="0.35">
      <c r="A994" s="6">
        <f t="shared" si="15"/>
        <v>1992</v>
      </c>
      <c r="B994" s="1" t="s">
        <v>2</v>
      </c>
      <c r="C994" s="20">
        <v>58.03</v>
      </c>
      <c r="D994" s="1">
        <f>Table4[[#This Row],[Quantity sold]]+5</f>
        <v>6</v>
      </c>
      <c r="E994" s="20">
        <v>5.8029999999999999</v>
      </c>
    </row>
    <row r="995" spans="1:5" x14ac:dyDescent="0.35">
      <c r="A995" s="6">
        <f t="shared" si="15"/>
        <v>1993</v>
      </c>
      <c r="B995" s="1" t="s">
        <v>6</v>
      </c>
      <c r="C995" s="20">
        <v>17.489999999999998</v>
      </c>
      <c r="D995" s="1">
        <f>Table4[[#This Row],[Quantity sold]]+5</f>
        <v>10</v>
      </c>
      <c r="E995" s="20">
        <v>8.7449999999999992</v>
      </c>
    </row>
    <row r="996" spans="1:5" x14ac:dyDescent="0.35">
      <c r="A996" s="6">
        <f t="shared" si="15"/>
        <v>1994</v>
      </c>
      <c r="B996" s="1" t="s">
        <v>2</v>
      </c>
      <c r="C996" s="20">
        <v>60.95</v>
      </c>
      <c r="D996" s="1">
        <f>Table4[[#This Row],[Quantity sold]]+5</f>
        <v>15</v>
      </c>
      <c r="E996" s="20">
        <v>3.0474999999999999</v>
      </c>
    </row>
    <row r="997" spans="1:5" x14ac:dyDescent="0.35">
      <c r="A997" s="6">
        <f t="shared" si="15"/>
        <v>1995</v>
      </c>
      <c r="B997" s="1" t="s">
        <v>1</v>
      </c>
      <c r="C997" s="20">
        <v>40.35</v>
      </c>
      <c r="D997" s="1">
        <f>Table4[[#This Row],[Quantity sold]]+5</f>
        <v>15</v>
      </c>
      <c r="E997" s="20">
        <v>2.0175000000000001</v>
      </c>
    </row>
    <row r="998" spans="1:5" x14ac:dyDescent="0.35">
      <c r="A998" s="6">
        <f t="shared" si="15"/>
        <v>1996</v>
      </c>
      <c r="B998" s="1" t="s">
        <v>3</v>
      </c>
      <c r="C998" s="20">
        <v>97.38</v>
      </c>
      <c r="D998" s="1">
        <f>Table4[[#This Row],[Quantity sold]]+5</f>
        <v>9</v>
      </c>
      <c r="E998" s="20">
        <v>48.69</v>
      </c>
    </row>
    <row r="999" spans="1:5" x14ac:dyDescent="0.35">
      <c r="A999" s="6">
        <f t="shared" si="15"/>
        <v>1997</v>
      </c>
      <c r="B999" s="1" t="s">
        <v>5</v>
      </c>
      <c r="C999" s="20">
        <v>31.84</v>
      </c>
      <c r="D999" s="1">
        <f>Table4[[#This Row],[Quantity sold]]+5</f>
        <v>14</v>
      </c>
      <c r="E999" s="20">
        <v>1.5920000000000001</v>
      </c>
    </row>
    <row r="1000" spans="1:5" x14ac:dyDescent="0.35">
      <c r="A1000" s="6">
        <f t="shared" si="15"/>
        <v>1998</v>
      </c>
      <c r="B1000" s="1" t="s">
        <v>3</v>
      </c>
      <c r="C1000" s="20">
        <v>65.819999999999993</v>
      </c>
      <c r="D1000" s="1">
        <f>Table4[[#This Row],[Quantity sold]]+5</f>
        <v>6</v>
      </c>
      <c r="E1000" s="20">
        <v>3.2909999999999999</v>
      </c>
    </row>
    <row r="1001" spans="1:5" x14ac:dyDescent="0.35">
      <c r="A1001" s="6">
        <f t="shared" si="15"/>
        <v>1999</v>
      </c>
      <c r="B1001" s="1" t="s">
        <v>6</v>
      </c>
      <c r="C1001" s="20">
        <v>88.34</v>
      </c>
      <c r="D1001" s="1">
        <f>Table4[[#This Row],[Quantity sold]]+5</f>
        <v>13</v>
      </c>
      <c r="E1001" s="20">
        <v>30.919</v>
      </c>
    </row>
  </sheetData>
  <mergeCells count="1">
    <mergeCell ref="H2:J2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25400</xdr:colOff>
                <xdr:row>4</xdr:row>
                <xdr:rowOff>12700</xdr:rowOff>
              </from>
              <to>
                <xdr:col>10</xdr:col>
                <xdr:colOff>38100</xdr:colOff>
                <xdr:row>6</xdr:row>
                <xdr:rowOff>31750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4EC5-5156-4F17-8CBD-7D065DD56563}">
  <sheetPr codeName="Sheet2"/>
  <dimension ref="A1:D1001"/>
  <sheetViews>
    <sheetView workbookViewId="0">
      <selection activeCell="AC18" sqref="AC18"/>
    </sheetView>
  </sheetViews>
  <sheetFormatPr defaultRowHeight="14.5" x14ac:dyDescent="0.35"/>
  <cols>
    <col min="1" max="1" width="21" customWidth="1"/>
    <col min="2" max="2" width="24.1796875" style="21" customWidth="1"/>
    <col min="3" max="3" width="17.54296875" customWidth="1"/>
    <col min="4" max="4" width="15.7265625" style="21" customWidth="1"/>
  </cols>
  <sheetData>
    <row r="1" spans="1:4" x14ac:dyDescent="0.35">
      <c r="A1" s="12" t="s">
        <v>9</v>
      </c>
      <c r="B1" s="24" t="s">
        <v>0</v>
      </c>
      <c r="C1" s="12" t="s">
        <v>7</v>
      </c>
      <c r="D1" s="24" t="s">
        <v>12</v>
      </c>
    </row>
    <row r="2" spans="1:4" x14ac:dyDescent="0.35">
      <c r="A2" t="s">
        <v>4</v>
      </c>
      <c r="B2" s="20">
        <f>Table_supermarket_sales___Sheet1[[#This Row],[Cost Price]]+Table57[[#This Row],[Markup Cost]]</f>
        <v>100.83150000000001</v>
      </c>
      <c r="C2">
        <v>7</v>
      </c>
      <c r="D2" s="21">
        <f>Table4[[#This Row],[Selling Price]]-Table_supermarket_sales___Sheet1[[#This Row],[Cost Price]]</f>
        <v>26.141500000000008</v>
      </c>
    </row>
    <row r="3" spans="1:4" x14ac:dyDescent="0.35">
      <c r="A3" t="s">
        <v>5</v>
      </c>
      <c r="B3" s="20">
        <f>Table_supermarket_sales___Sheet1[[#This Row],[Cost Price]]+Table57[[#This Row],[Markup Cost]]</f>
        <v>19.099999999999998</v>
      </c>
      <c r="C3">
        <v>2</v>
      </c>
      <c r="D3" s="21">
        <f>Table4[[#This Row],[Selling Price]]-Table_supermarket_sales___Sheet1[[#This Row],[Cost Price]]</f>
        <v>3.8199999999999985</v>
      </c>
    </row>
    <row r="4" spans="1:4" x14ac:dyDescent="0.35">
      <c r="A4" t="s">
        <v>2</v>
      </c>
      <c r="B4" s="20">
        <f>Table_supermarket_sales___Sheet1[[#This Row],[Cost Price]]+Table57[[#This Row],[Markup Cost]]</f>
        <v>62.545499999999997</v>
      </c>
      <c r="C4">
        <v>5</v>
      </c>
      <c r="D4" s="21">
        <f>Table4[[#This Row],[Selling Price]]-Table_supermarket_sales___Sheet1[[#This Row],[Cost Price]]</f>
        <v>16.215499999999999</v>
      </c>
    </row>
    <row r="5" spans="1:4" x14ac:dyDescent="0.35">
      <c r="A5" t="s">
        <v>3</v>
      </c>
      <c r="B5" s="20">
        <f>Table_supermarket_sales___Sheet1[[#This Row],[Cost Price]]+Table57[[#This Row],[Markup Cost]]</f>
        <v>81.507999999999996</v>
      </c>
      <c r="C5">
        <v>4</v>
      </c>
      <c r="D5" s="21">
        <f>Table4[[#This Row],[Selling Price]]-Table_supermarket_sales___Sheet1[[#This Row],[Cost Price]]</f>
        <v>23.287999999999997</v>
      </c>
    </row>
    <row r="6" spans="1:4" x14ac:dyDescent="0.35">
      <c r="A6" t="s">
        <v>1</v>
      </c>
      <c r="B6" s="20">
        <f>Table_supermarket_sales___Sheet1[[#This Row],[Cost Price]]+Table57[[#This Row],[Markup Cost]]</f>
        <v>116.5185</v>
      </c>
      <c r="C6">
        <v>6</v>
      </c>
      <c r="D6" s="21">
        <f>Table4[[#This Row],[Selling Price]]-Table_supermarket_sales___Sheet1[[#This Row],[Cost Price]]</f>
        <v>30.208500000000001</v>
      </c>
    </row>
    <row r="7" spans="1:4" x14ac:dyDescent="0.35">
      <c r="A7" t="s">
        <v>3</v>
      </c>
      <c r="B7" s="20">
        <f>Table_supermarket_sales___Sheet1[[#This Row],[Cost Price]]+Table57[[#This Row],[Markup Cost]]</f>
        <v>115.2765</v>
      </c>
      <c r="C7">
        <v>5</v>
      </c>
      <c r="D7" s="21">
        <f>Table4[[#This Row],[Selling Price]]-Table_supermarket_sales___Sheet1[[#This Row],[Cost Price]]</f>
        <v>29.886499999999998</v>
      </c>
    </row>
    <row r="8" spans="1:4" x14ac:dyDescent="0.35">
      <c r="A8" t="s">
        <v>1</v>
      </c>
      <c r="B8" s="20">
        <f>Table_supermarket_sales___Sheet1[[#This Row],[Cost Price]]+Table57[[#This Row],[Markup Cost]]</f>
        <v>89.492000000000004</v>
      </c>
      <c r="C8">
        <v>7</v>
      </c>
      <c r="D8" s="21">
        <f>Table4[[#This Row],[Selling Price]]-Table_supermarket_sales___Sheet1[[#This Row],[Cost Price]]</f>
        <v>20.652000000000001</v>
      </c>
    </row>
    <row r="9" spans="1:4" x14ac:dyDescent="0.35">
      <c r="A9" t="s">
        <v>4</v>
      </c>
      <c r="B9" s="20">
        <f>Table_supermarket_sales___Sheet1[[#This Row],[Cost Price]]+Table57[[#This Row],[Markup Cost]]</f>
        <v>110.34</v>
      </c>
      <c r="C9">
        <v>7</v>
      </c>
      <c r="D9" s="21">
        <f>Table4[[#This Row],[Selling Price]]-Table_supermarket_sales___Sheet1[[#This Row],[Cost Price]]</f>
        <v>36.78</v>
      </c>
    </row>
    <row r="10" spans="1:4" x14ac:dyDescent="0.35">
      <c r="A10" t="s">
        <v>6</v>
      </c>
      <c r="B10" s="20">
        <f>Table_supermarket_sales___Sheet1[[#This Row],[Cost Price]]+Table57[[#This Row],[Markup Cost]]</f>
        <v>39.885999999999996</v>
      </c>
      <c r="C10">
        <v>7</v>
      </c>
      <c r="D10" s="21">
        <f>Table4[[#This Row],[Selling Price]]-Table_supermarket_sales___Sheet1[[#This Row],[Cost Price]]</f>
        <v>3.6259999999999977</v>
      </c>
    </row>
    <row r="11" spans="1:4" x14ac:dyDescent="0.35">
      <c r="A11" t="s">
        <v>5</v>
      </c>
      <c r="B11" s="20">
        <f>Table_supermarket_sales___Sheet1[[#This Row],[Cost Price]]+Table57[[#This Row],[Markup Cost]]</f>
        <v>63.066000000000003</v>
      </c>
      <c r="C11">
        <v>3</v>
      </c>
      <c r="D11" s="21">
        <f>Table4[[#This Row],[Selling Price]]-Table_supermarket_sales___Sheet1[[#This Row],[Cost Price]]</f>
        <v>8.2259999999999991</v>
      </c>
    </row>
    <row r="12" spans="1:4" x14ac:dyDescent="0.35">
      <c r="A12" t="s">
        <v>5</v>
      </c>
      <c r="B12" s="20">
        <f>Table_supermarket_sales___Sheet1[[#This Row],[Cost Price]]+Table57[[#This Row],[Markup Cost]]</f>
        <v>17.376000000000001</v>
      </c>
      <c r="C12">
        <v>9</v>
      </c>
      <c r="D12" s="21">
        <f>Table4[[#This Row],[Selling Price]]-Table_supermarket_sales___Sheet1[[#This Row],[Cost Price]]</f>
        <v>2.8960000000000008</v>
      </c>
    </row>
    <row r="13" spans="1:4" x14ac:dyDescent="0.35">
      <c r="A13" t="s">
        <v>5</v>
      </c>
      <c r="B13" s="20">
        <f>Table_supermarket_sales___Sheet1[[#This Row],[Cost Price]]+Table57[[#This Row],[Markup Cost]]</f>
        <v>30.612000000000002</v>
      </c>
      <c r="C13">
        <v>10</v>
      </c>
      <c r="D13" s="21">
        <f>Table4[[#This Row],[Selling Price]]-Table_supermarket_sales___Sheet1[[#This Row],[Cost Price]]</f>
        <v>5.1020000000000003</v>
      </c>
    </row>
    <row r="14" spans="1:4" x14ac:dyDescent="0.35">
      <c r="A14" t="s">
        <v>5</v>
      </c>
      <c r="B14" s="20">
        <f>Table_supermarket_sales___Sheet1[[#This Row],[Cost Price]]+Table57[[#This Row],[Markup Cost]]</f>
        <v>58.6875</v>
      </c>
      <c r="C14">
        <v>3</v>
      </c>
      <c r="D14" s="21">
        <f>Table4[[#This Row],[Selling Price]]-Table_supermarket_sales___Sheet1[[#This Row],[Cost Price]]</f>
        <v>11.737499999999997</v>
      </c>
    </row>
    <row r="15" spans="1:4" x14ac:dyDescent="0.35">
      <c r="A15" t="s">
        <v>1</v>
      </c>
      <c r="B15" s="20">
        <f>Table_supermarket_sales___Sheet1[[#This Row],[Cost Price]]+Table57[[#This Row],[Markup Cost]]</f>
        <v>64.784999999999997</v>
      </c>
      <c r="C15">
        <v>5</v>
      </c>
      <c r="D15" s="21">
        <f>Table4[[#This Row],[Selling Price]]-Table_supermarket_sales___Sheet1[[#This Row],[Cost Price]]</f>
        <v>21.594999999999999</v>
      </c>
    </row>
    <row r="16" spans="1:4" x14ac:dyDescent="0.35">
      <c r="A16" t="s">
        <v>1</v>
      </c>
      <c r="B16" s="20">
        <f>Table_supermarket_sales___Sheet1[[#This Row],[Cost Price]]+Table57[[#This Row],[Markup Cost]]</f>
        <v>107.07</v>
      </c>
      <c r="C16">
        <v>10</v>
      </c>
      <c r="D16" s="21">
        <f>Table4[[#This Row],[Selling Price]]-Table_supermarket_sales___Sheet1[[#This Row],[Cost Price]]</f>
        <v>35.69</v>
      </c>
    </row>
    <row r="17" spans="1:4" x14ac:dyDescent="0.35">
      <c r="A17" t="s">
        <v>4</v>
      </c>
      <c r="B17" s="20">
        <f>Table_supermarket_sales___Sheet1[[#This Row],[Cost Price]]+Table57[[#This Row],[Markup Cost]]</f>
        <v>121.836</v>
      </c>
      <c r="C17">
        <v>5</v>
      </c>
      <c r="D17" s="21">
        <f>Table4[[#This Row],[Selling Price]]-Table_supermarket_sales___Sheet1[[#This Row],[Cost Price]]</f>
        <v>28.116</v>
      </c>
    </row>
    <row r="18" spans="1:4" x14ac:dyDescent="0.35">
      <c r="A18" t="s">
        <v>6</v>
      </c>
      <c r="B18" s="20">
        <f>Table_supermarket_sales___Sheet1[[#This Row],[Cost Price]]+Table57[[#This Row],[Markup Cost]]</f>
        <v>93.055500000000009</v>
      </c>
      <c r="C18">
        <v>4</v>
      </c>
      <c r="D18" s="21">
        <f>Table4[[#This Row],[Selling Price]]-Table_supermarket_sales___Sheet1[[#This Row],[Cost Price]]</f>
        <v>24.125500000000002</v>
      </c>
    </row>
    <row r="19" spans="1:4" x14ac:dyDescent="0.35">
      <c r="A19" t="s">
        <v>2</v>
      </c>
      <c r="B19" s="20">
        <f>Table_supermarket_sales___Sheet1[[#This Row],[Cost Price]]+Table57[[#This Row],[Markup Cost]]</f>
        <v>94.393000000000001</v>
      </c>
      <c r="C19">
        <v>2</v>
      </c>
      <c r="D19" s="21">
        <f>Table4[[#This Row],[Selling Price]]-Table_supermarket_sales___Sheet1[[#This Row],[Cost Price]]</f>
        <v>21.783000000000001</v>
      </c>
    </row>
    <row r="20" spans="1:4" x14ac:dyDescent="0.35">
      <c r="A20" t="s">
        <v>2</v>
      </c>
      <c r="B20" s="20">
        <f>Table_supermarket_sales___Sheet1[[#This Row],[Cost Price]]+Table57[[#This Row],[Markup Cost]]</f>
        <v>62.8705</v>
      </c>
      <c r="C20">
        <v>10</v>
      </c>
      <c r="D20" s="21">
        <f>Table4[[#This Row],[Selling Price]]-Table_supermarket_sales___Sheet1[[#This Row],[Cost Price]]</f>
        <v>8.2004999999999981</v>
      </c>
    </row>
    <row r="21" spans="1:4" x14ac:dyDescent="0.35">
      <c r="A21" t="s">
        <v>3</v>
      </c>
      <c r="B21" s="20">
        <f>Table_supermarket_sales___Sheet1[[#This Row],[Cost Price]]+Table57[[#This Row],[Markup Cost]]</f>
        <v>44.33</v>
      </c>
      <c r="C21">
        <v>7</v>
      </c>
      <c r="D21" s="21">
        <f>Table4[[#This Row],[Selling Price]]-Table_supermarket_sales___Sheet1[[#This Row],[Cost Price]]</f>
        <v>4.0300000000000011</v>
      </c>
    </row>
    <row r="22" spans="1:4" x14ac:dyDescent="0.35">
      <c r="A22" t="s">
        <v>4</v>
      </c>
      <c r="B22" s="20">
        <f>Table_supermarket_sales___Sheet1[[#This Row],[Cost Price]]+Table57[[#This Row],[Markup Cost]]</f>
        <v>107.55000000000001</v>
      </c>
      <c r="C22">
        <v>8</v>
      </c>
      <c r="D22" s="21">
        <f>Table4[[#This Row],[Selling Price]]-Table_supermarket_sales___Sheet1[[#This Row],[Cost Price]]</f>
        <v>21.510000000000005</v>
      </c>
    </row>
    <row r="23" spans="1:4" x14ac:dyDescent="0.35">
      <c r="A23" t="s">
        <v>3</v>
      </c>
      <c r="B23" s="20">
        <f>Table_supermarket_sales___Sheet1[[#This Row],[Cost Price]]+Table57[[#This Row],[Markup Cost]]</f>
        <v>101.17700000000001</v>
      </c>
      <c r="C23">
        <v>4</v>
      </c>
      <c r="D23" s="21">
        <f>Table4[[#This Row],[Selling Price]]-Table_supermarket_sales___Sheet1[[#This Row],[Cost Price]]</f>
        <v>13.197000000000003</v>
      </c>
    </row>
    <row r="24" spans="1:4" x14ac:dyDescent="0.35">
      <c r="A24" t="s">
        <v>4</v>
      </c>
      <c r="B24" s="20">
        <f>Table_supermarket_sales___Sheet1[[#This Row],[Cost Price]]+Table57[[#This Row],[Markup Cost]]</f>
        <v>36.520000000000003</v>
      </c>
      <c r="C24">
        <v>6</v>
      </c>
      <c r="D24" s="21">
        <f>Table4[[#This Row],[Selling Price]]-Table_supermarket_sales___Sheet1[[#This Row],[Cost Price]]</f>
        <v>3.3200000000000003</v>
      </c>
    </row>
    <row r="25" spans="1:4" x14ac:dyDescent="0.35">
      <c r="A25" t="s">
        <v>1</v>
      </c>
      <c r="B25" s="20">
        <f>Table_supermarket_sales___Sheet1[[#This Row],[Cost Price]]+Table57[[#This Row],[Markup Cost]]</f>
        <v>43.2</v>
      </c>
      <c r="C25">
        <v>4</v>
      </c>
      <c r="D25" s="21">
        <f>Table4[[#This Row],[Selling Price]]-Table_supermarket_sales___Sheet1[[#This Row],[Cost Price]]</f>
        <v>8.64</v>
      </c>
    </row>
    <row r="26" spans="1:4" x14ac:dyDescent="0.35">
      <c r="A26" t="s">
        <v>2</v>
      </c>
      <c r="B26" s="20">
        <f>Table_supermarket_sales___Sheet1[[#This Row],[Cost Price]]+Table57[[#This Row],[Markup Cost]]</f>
        <v>101.92449999999999</v>
      </c>
      <c r="C26">
        <v>1</v>
      </c>
      <c r="D26" s="21">
        <f>Table4[[#This Row],[Selling Price]]-Table_supermarket_sales___Sheet1[[#This Row],[Cost Price]]</f>
        <v>13.294499999999999</v>
      </c>
    </row>
    <row r="27" spans="1:4" x14ac:dyDescent="0.35">
      <c r="A27" t="s">
        <v>5</v>
      </c>
      <c r="B27" s="20">
        <f>Table_supermarket_sales___Sheet1[[#This Row],[Cost Price]]+Table57[[#This Row],[Markup Cost]]</f>
        <v>73.626000000000005</v>
      </c>
      <c r="C27">
        <v>7</v>
      </c>
      <c r="D27" s="21">
        <f>Table4[[#This Row],[Selling Price]]-Table_supermarket_sales___Sheet1[[#This Row],[Cost Price]]</f>
        <v>21.036000000000001</v>
      </c>
    </row>
    <row r="28" spans="1:4" x14ac:dyDescent="0.35">
      <c r="A28" t="s">
        <v>4</v>
      </c>
      <c r="B28" s="20">
        <f>Table_supermarket_sales___Sheet1[[#This Row],[Cost Price]]+Table57[[#This Row],[Markup Cost]]</f>
        <v>35.196000000000005</v>
      </c>
      <c r="C28">
        <v>1</v>
      </c>
      <c r="D28" s="21">
        <f>Table4[[#This Row],[Selling Price]]-Table_supermarket_sales___Sheet1[[#This Row],[Cost Price]]</f>
        <v>1.6760000000000019</v>
      </c>
    </row>
    <row r="29" spans="1:4" x14ac:dyDescent="0.35">
      <c r="A29" t="s">
        <v>4</v>
      </c>
      <c r="B29" s="20">
        <f>Table_supermarket_sales___Sheet1[[#This Row],[Cost Price]]+Table57[[#This Row],[Markup Cost]]</f>
        <v>96.436999999999998</v>
      </c>
      <c r="C29">
        <v>2</v>
      </c>
      <c r="D29" s="21">
        <f>Table4[[#This Row],[Selling Price]]-Table_supermarket_sales___Sheet1[[#This Row],[Cost Price]]</f>
        <v>8.7669999999999959</v>
      </c>
    </row>
    <row r="30" spans="1:4" x14ac:dyDescent="0.35">
      <c r="A30" t="s">
        <v>5</v>
      </c>
      <c r="B30" s="20">
        <f>Table_supermarket_sales___Sheet1[[#This Row],[Cost Price]]+Table57[[#This Row],[Markup Cost]]</f>
        <v>110.45</v>
      </c>
      <c r="C30">
        <v>2</v>
      </c>
      <c r="D30" s="21">
        <f>Table4[[#This Row],[Selling Price]]-Table_supermarket_sales___Sheet1[[#This Row],[Cost Price]]</f>
        <v>22.090000000000003</v>
      </c>
    </row>
    <row r="31" spans="1:4" x14ac:dyDescent="0.35">
      <c r="A31" t="s">
        <v>3</v>
      </c>
      <c r="B31" s="20">
        <f>Table_supermarket_sales___Sheet1[[#This Row],[Cost Price]]+Table57[[#This Row],[Markup Cost]]</f>
        <v>36.090499999999999</v>
      </c>
      <c r="C31">
        <v>8</v>
      </c>
      <c r="D31" s="21">
        <f>Table4[[#This Row],[Selling Price]]-Table_supermarket_sales___Sheet1[[#This Row],[Cost Price]]</f>
        <v>11.200499999999998</v>
      </c>
    </row>
    <row r="32" spans="1:4" x14ac:dyDescent="0.35">
      <c r="A32" t="s">
        <v>1</v>
      </c>
      <c r="B32" s="20">
        <f>Table_supermarket_sales___Sheet1[[#This Row],[Cost Price]]+Table57[[#This Row],[Markup Cost]]</f>
        <v>117.66249999999999</v>
      </c>
      <c r="C32">
        <v>4</v>
      </c>
      <c r="D32" s="21">
        <f>Table4[[#This Row],[Selling Price]]-Table_supermarket_sales___Sheet1[[#This Row],[Cost Price]]</f>
        <v>23.532499999999999</v>
      </c>
    </row>
    <row r="33" spans="1:4" x14ac:dyDescent="0.35">
      <c r="A33" t="s">
        <v>3</v>
      </c>
      <c r="B33" s="20">
        <f>Table_supermarket_sales___Sheet1[[#This Row],[Cost Price]]+Table57[[#This Row],[Markup Cost]]</f>
        <v>113.2015</v>
      </c>
      <c r="C33">
        <v>10</v>
      </c>
      <c r="D33" s="21">
        <f>Table4[[#This Row],[Selling Price]]-Table_supermarket_sales___Sheet1[[#This Row],[Cost Price]]</f>
        <v>35.131500000000003</v>
      </c>
    </row>
    <row r="34" spans="1:4" x14ac:dyDescent="0.35">
      <c r="A34" t="s">
        <v>1</v>
      </c>
      <c r="B34" s="20">
        <f>Table_supermarket_sales___Sheet1[[#This Row],[Cost Price]]+Table57[[#This Row],[Markup Cost]]</f>
        <v>117.292</v>
      </c>
      <c r="C34">
        <v>4</v>
      </c>
      <c r="D34" s="21">
        <f>Table4[[#This Row],[Selling Price]]-Table_supermarket_sales___Sheet1[[#This Row],[Cost Price]]</f>
        <v>33.512</v>
      </c>
    </row>
    <row r="35" spans="1:4" x14ac:dyDescent="0.35">
      <c r="A35" t="s">
        <v>2</v>
      </c>
      <c r="B35" s="20">
        <f>Table_supermarket_sales___Sheet1[[#This Row],[Cost Price]]+Table57[[#This Row],[Markup Cost]]</f>
        <v>106.238</v>
      </c>
      <c r="C35">
        <v>10</v>
      </c>
      <c r="D35" s="21">
        <f>Table4[[#This Row],[Selling Price]]-Table_supermarket_sales___Sheet1[[#This Row],[Cost Price]]</f>
        <v>9.6580000000000013</v>
      </c>
    </row>
    <row r="36" spans="1:4" x14ac:dyDescent="0.35">
      <c r="A36" t="s">
        <v>5</v>
      </c>
      <c r="B36" s="20">
        <f>Table_supermarket_sales___Sheet1[[#This Row],[Cost Price]]+Table57[[#This Row],[Markup Cost]]</f>
        <v>119.304</v>
      </c>
      <c r="C36">
        <v>8</v>
      </c>
      <c r="D36" s="21">
        <f>Table4[[#This Row],[Selling Price]]-Table_supermarket_sales___Sheet1[[#This Row],[Cost Price]]</f>
        <v>19.884</v>
      </c>
    </row>
    <row r="37" spans="1:4" x14ac:dyDescent="0.35">
      <c r="A37" t="s">
        <v>6</v>
      </c>
      <c r="B37" s="20">
        <f>Table_supermarket_sales___Sheet1[[#This Row],[Cost Price]]+Table57[[#This Row],[Markup Cost]]</f>
        <v>71.52600000000001</v>
      </c>
      <c r="C37">
        <v>1</v>
      </c>
      <c r="D37" s="21">
        <f>Table4[[#This Row],[Selling Price]]-Table_supermarket_sales___Sheet1[[#This Row],[Cost Price]]</f>
        <v>3.4060000000000059</v>
      </c>
    </row>
    <row r="38" spans="1:4" x14ac:dyDescent="0.35">
      <c r="A38" t="s">
        <v>1</v>
      </c>
      <c r="B38" s="20">
        <f>Table_supermarket_sales___Sheet1[[#This Row],[Cost Price]]+Table57[[#This Row],[Markup Cost]]</f>
        <v>78.274999999999991</v>
      </c>
      <c r="C38">
        <v>5</v>
      </c>
      <c r="D38" s="21">
        <f>Table4[[#This Row],[Selling Price]]-Table_supermarket_sales___Sheet1[[#This Row],[Cost Price]]</f>
        <v>15.654999999999994</v>
      </c>
    </row>
    <row r="39" spans="1:4" x14ac:dyDescent="0.35">
      <c r="A39" t="s">
        <v>5</v>
      </c>
      <c r="B39" s="20">
        <f>Table_supermarket_sales___Sheet1[[#This Row],[Cost Price]]+Table57[[#This Row],[Markup Cost]]</f>
        <v>88.27600000000001</v>
      </c>
      <c r="C39">
        <v>10</v>
      </c>
      <c r="D39" s="21">
        <f>Table4[[#This Row],[Selling Price]]-Table_supermarket_sales___Sheet1[[#This Row],[Cost Price]]</f>
        <v>27.396000000000008</v>
      </c>
    </row>
    <row r="40" spans="1:4" x14ac:dyDescent="0.35">
      <c r="A40" t="s">
        <v>6</v>
      </c>
      <c r="B40" s="20">
        <f>Table_supermarket_sales___Sheet1[[#This Row],[Cost Price]]+Table57[[#This Row],[Markup Cost]]</f>
        <v>76.888000000000005</v>
      </c>
      <c r="C40">
        <v>3</v>
      </c>
      <c r="D40" s="21">
        <f>Table4[[#This Row],[Selling Price]]-Table_supermarket_sales___Sheet1[[#This Row],[Cost Price]]</f>
        <v>21.968000000000004</v>
      </c>
    </row>
    <row r="41" spans="1:4" x14ac:dyDescent="0.35">
      <c r="A41" t="s">
        <v>3</v>
      </c>
      <c r="B41" s="20">
        <f>Table_supermarket_sales___Sheet1[[#This Row],[Cost Price]]+Table57[[#This Row],[Markup Cost]]</f>
        <v>42.167999999999999</v>
      </c>
      <c r="C41">
        <v>8</v>
      </c>
      <c r="D41" s="21">
        <f>Table4[[#This Row],[Selling Price]]-Table_supermarket_sales___Sheet1[[#This Row],[Cost Price]]</f>
        <v>12.047999999999998</v>
      </c>
    </row>
    <row r="42" spans="1:4" x14ac:dyDescent="0.35">
      <c r="A42" t="s">
        <v>1</v>
      </c>
      <c r="B42" s="20">
        <f>Table_supermarket_sales___Sheet1[[#This Row],[Cost Price]]+Table57[[#This Row],[Markup Cost]]</f>
        <v>91.055999999999997</v>
      </c>
      <c r="C42">
        <v>10</v>
      </c>
      <c r="D42" s="21">
        <f>Table4[[#This Row],[Selling Price]]-Table_supermarket_sales___Sheet1[[#This Row],[Cost Price]]</f>
        <v>4.3359999999999985</v>
      </c>
    </row>
    <row r="43" spans="1:4" x14ac:dyDescent="0.35">
      <c r="A43" t="s">
        <v>6</v>
      </c>
      <c r="B43" s="20">
        <f>Table_supermarket_sales___Sheet1[[#This Row],[Cost Price]]+Table57[[#This Row],[Markup Cost]]</f>
        <v>61.720999999999997</v>
      </c>
      <c r="C43">
        <v>10</v>
      </c>
      <c r="D43" s="21">
        <f>Table4[[#This Row],[Selling Price]]-Table_supermarket_sales___Sheet1[[#This Row],[Cost Price]]</f>
        <v>5.6109999999999971</v>
      </c>
    </row>
    <row r="44" spans="1:4" x14ac:dyDescent="0.35">
      <c r="A44" t="s">
        <v>6</v>
      </c>
      <c r="B44" s="20">
        <f>Table_supermarket_sales___Sheet1[[#This Row],[Cost Price]]+Table57[[#This Row],[Markup Cost]]</f>
        <v>89.856000000000009</v>
      </c>
      <c r="C44">
        <v>1</v>
      </c>
      <c r="D44" s="21">
        <f>Table4[[#This Row],[Selling Price]]-Table_supermarket_sales___Sheet1[[#This Row],[Cost Price]]</f>
        <v>20.736000000000004</v>
      </c>
    </row>
    <row r="45" spans="1:4" x14ac:dyDescent="0.35">
      <c r="A45" t="s">
        <v>5</v>
      </c>
      <c r="B45" s="20">
        <f>Table_supermarket_sales___Sheet1[[#This Row],[Cost Price]]+Table57[[#This Row],[Markup Cost]]</f>
        <v>138.18</v>
      </c>
      <c r="C45">
        <v>8</v>
      </c>
      <c r="D45" s="21">
        <f>Table4[[#This Row],[Selling Price]]-Table_supermarket_sales___Sheet1[[#This Row],[Cost Price]]</f>
        <v>39.480000000000004</v>
      </c>
    </row>
    <row r="46" spans="1:4" x14ac:dyDescent="0.35">
      <c r="A46" t="s">
        <v>1</v>
      </c>
      <c r="B46" s="20">
        <f>Table_supermarket_sales___Sheet1[[#This Row],[Cost Price]]+Table57[[#This Row],[Markup Cost]]</f>
        <v>16.907</v>
      </c>
      <c r="C46">
        <v>6</v>
      </c>
      <c r="D46" s="21">
        <f>Table4[[#This Row],[Selling Price]]-Table_supermarket_sales___Sheet1[[#This Row],[Cost Price]]</f>
        <v>1.5370000000000008</v>
      </c>
    </row>
    <row r="47" spans="1:4" x14ac:dyDescent="0.35">
      <c r="A47" t="s">
        <v>1</v>
      </c>
      <c r="B47" s="20">
        <f>Table_supermarket_sales___Sheet1[[#This Row],[Cost Price]]+Table57[[#This Row],[Markup Cost]]</f>
        <v>112.752</v>
      </c>
      <c r="C47">
        <v>3</v>
      </c>
      <c r="D47" s="21">
        <f>Table4[[#This Row],[Selling Price]]-Table_supermarket_sales___Sheet1[[#This Row],[Cost Price]]</f>
        <v>18.792000000000002</v>
      </c>
    </row>
    <row r="48" spans="1:4" x14ac:dyDescent="0.35">
      <c r="A48" t="s">
        <v>3</v>
      </c>
      <c r="B48" s="20">
        <f>Table_supermarket_sales___Sheet1[[#This Row],[Cost Price]]+Table57[[#This Row],[Markup Cost]]</f>
        <v>82.200500000000005</v>
      </c>
      <c r="C48">
        <v>6</v>
      </c>
      <c r="D48" s="21">
        <f>Table4[[#This Row],[Selling Price]]-Table_supermarket_sales___Sheet1[[#This Row],[Cost Price]]</f>
        <v>25.510500000000008</v>
      </c>
    </row>
    <row r="49" spans="1:4" x14ac:dyDescent="0.35">
      <c r="A49" t="s">
        <v>1</v>
      </c>
      <c r="B49" s="20">
        <f>Table_supermarket_sales___Sheet1[[#This Row],[Cost Price]]+Table57[[#This Row],[Markup Cost]]</f>
        <v>29.014500000000002</v>
      </c>
      <c r="C49">
        <v>8</v>
      </c>
      <c r="D49" s="21">
        <f>Table4[[#This Row],[Selling Price]]-Table_supermarket_sales___Sheet1[[#This Row],[Cost Price]]</f>
        <v>9.0045000000000002</v>
      </c>
    </row>
    <row r="50" spans="1:4" x14ac:dyDescent="0.35">
      <c r="A50" t="s">
        <v>4</v>
      </c>
      <c r="B50" s="20">
        <f>Table_supermarket_sales___Sheet1[[#This Row],[Cost Price]]+Table57[[#This Row],[Markup Cost]]</f>
        <v>24.609000000000002</v>
      </c>
      <c r="C50">
        <v>7</v>
      </c>
      <c r="D50" s="21">
        <f>Table4[[#This Row],[Selling Price]]-Table_supermarket_sales___Sheet1[[#This Row],[Cost Price]]</f>
        <v>5.679000000000002</v>
      </c>
    </row>
    <row r="51" spans="1:4" x14ac:dyDescent="0.35">
      <c r="A51" t="s">
        <v>3</v>
      </c>
      <c r="B51" s="20">
        <f>Table_supermarket_sales___Sheet1[[#This Row],[Cost Price]]+Table57[[#This Row],[Markup Cost]]</f>
        <v>123.94499999999999</v>
      </c>
      <c r="C51">
        <v>10</v>
      </c>
      <c r="D51" s="21">
        <f>Table4[[#This Row],[Selling Price]]-Table_supermarket_sales___Sheet1[[#This Row],[Cost Price]]</f>
        <v>41.314999999999998</v>
      </c>
    </row>
    <row r="52" spans="1:4" x14ac:dyDescent="0.35">
      <c r="A52" t="s">
        <v>6</v>
      </c>
      <c r="B52" s="20">
        <f>Table_supermarket_sales___Sheet1[[#This Row],[Cost Price]]+Table57[[#This Row],[Markup Cost]]</f>
        <v>123.39</v>
      </c>
      <c r="C52">
        <v>4</v>
      </c>
      <c r="D52" s="21">
        <f>Table4[[#This Row],[Selling Price]]-Table_supermarket_sales___Sheet1[[#This Row],[Cost Price]]</f>
        <v>31.989999999999995</v>
      </c>
    </row>
    <row r="53" spans="1:4" x14ac:dyDescent="0.35">
      <c r="A53" t="s">
        <v>5</v>
      </c>
      <c r="B53" s="20">
        <f>Table_supermarket_sales___Sheet1[[#This Row],[Cost Price]]+Table57[[#This Row],[Markup Cost]]</f>
        <v>55.737500000000004</v>
      </c>
      <c r="C53">
        <v>5</v>
      </c>
      <c r="D53" s="21">
        <f>Table4[[#This Row],[Selling Price]]-Table_supermarket_sales___Sheet1[[#This Row],[Cost Price]]</f>
        <v>11.147500000000001</v>
      </c>
    </row>
    <row r="54" spans="1:4" x14ac:dyDescent="0.35">
      <c r="A54" t="s">
        <v>2</v>
      </c>
      <c r="B54" s="20">
        <f>Table_supermarket_sales___Sheet1[[#This Row],[Cost Price]]+Table57[[#This Row],[Markup Cost]]</f>
        <v>21.444000000000003</v>
      </c>
      <c r="C54">
        <v>10</v>
      </c>
      <c r="D54" s="21">
        <f>Table4[[#This Row],[Selling Price]]-Table_supermarket_sales___Sheet1[[#This Row],[Cost Price]]</f>
        <v>3.5740000000000016</v>
      </c>
    </row>
    <row r="55" spans="1:4" x14ac:dyDescent="0.35">
      <c r="A55" t="s">
        <v>6</v>
      </c>
      <c r="B55" s="20">
        <f>Table_supermarket_sales___Sheet1[[#This Row],[Cost Price]]+Table57[[#This Row],[Markup Cost]]</f>
        <v>16.201499999999999</v>
      </c>
      <c r="C55">
        <v>2</v>
      </c>
      <c r="D55" s="21">
        <f>Table4[[#This Row],[Selling Price]]-Table_supermarket_sales___Sheet1[[#This Row],[Cost Price]]</f>
        <v>0.77149999999999963</v>
      </c>
    </row>
    <row r="56" spans="1:4" x14ac:dyDescent="0.35">
      <c r="A56" t="s">
        <v>2</v>
      </c>
      <c r="B56" s="20">
        <f>Table_supermarket_sales___Sheet1[[#This Row],[Cost Price]]+Table57[[#This Row],[Markup Cost]]</f>
        <v>17.776</v>
      </c>
      <c r="C56">
        <v>4</v>
      </c>
      <c r="D56" s="21">
        <f>Table4[[#This Row],[Selling Price]]-Table_supermarket_sales___Sheet1[[#This Row],[Cost Price]]</f>
        <v>1.6159999999999997</v>
      </c>
    </row>
    <row r="57" spans="1:4" x14ac:dyDescent="0.35">
      <c r="A57" t="s">
        <v>1</v>
      </c>
      <c r="B57" s="20">
        <f>Table_supermarket_sales___Sheet1[[#This Row],[Cost Price]]+Table57[[#This Row],[Markup Cost]]</f>
        <v>120.37200000000001</v>
      </c>
      <c r="C57">
        <v>10</v>
      </c>
      <c r="D57" s="21">
        <f>Table4[[#This Row],[Selling Price]]-Table_supermarket_sales___Sheet1[[#This Row],[Cost Price]]</f>
        <v>34.39200000000001</v>
      </c>
    </row>
    <row r="58" spans="1:4" x14ac:dyDescent="0.35">
      <c r="A58" t="s">
        <v>6</v>
      </c>
      <c r="B58" s="20">
        <f>Table_supermarket_sales___Sheet1[[#This Row],[Cost Price]]+Table57[[#This Row],[Markup Cost]]</f>
        <v>48.774000000000001</v>
      </c>
      <c r="C58">
        <v>4</v>
      </c>
      <c r="D58" s="21">
        <f>Table4[[#This Row],[Selling Price]]-Table_supermarket_sales___Sheet1[[#This Row],[Cost Price]]</f>
        <v>4.4339999999999975</v>
      </c>
    </row>
    <row r="59" spans="1:4" x14ac:dyDescent="0.35">
      <c r="A59" t="s">
        <v>2</v>
      </c>
      <c r="B59" s="20">
        <f>Table_supermarket_sales___Sheet1[[#This Row],[Cost Price]]+Table57[[#This Row],[Markup Cost]]</f>
        <v>125.44</v>
      </c>
      <c r="C59">
        <v>10</v>
      </c>
      <c r="D59" s="21">
        <f>Table4[[#This Row],[Selling Price]]-Table_supermarket_sales___Sheet1[[#This Row],[Cost Price]]</f>
        <v>35.840000000000003</v>
      </c>
    </row>
    <row r="60" spans="1:4" x14ac:dyDescent="0.35">
      <c r="A60" t="s">
        <v>4</v>
      </c>
      <c r="B60" s="20">
        <f>Table_supermarket_sales___Sheet1[[#This Row],[Cost Price]]+Table57[[#This Row],[Markup Cost]]</f>
        <v>108.52499999999999</v>
      </c>
      <c r="C60">
        <v>10</v>
      </c>
      <c r="D60" s="21">
        <f>Table4[[#This Row],[Selling Price]]-Table_supermarket_sales___Sheet1[[#This Row],[Cost Price]]</f>
        <v>36.174999999999997</v>
      </c>
    </row>
    <row r="61" spans="1:4" x14ac:dyDescent="0.35">
      <c r="A61" t="s">
        <v>2</v>
      </c>
      <c r="B61" s="20">
        <f>Table_supermarket_sales___Sheet1[[#This Row],[Cost Price]]+Table57[[#This Row],[Markup Cost]]</f>
        <v>39.792999999999999</v>
      </c>
      <c r="C61">
        <v>10</v>
      </c>
      <c r="D61" s="21">
        <f>Table4[[#This Row],[Selling Price]]-Table_supermarket_sales___Sheet1[[#This Row],[Cost Price]]</f>
        <v>9.1829999999999998</v>
      </c>
    </row>
    <row r="62" spans="1:4" x14ac:dyDescent="0.35">
      <c r="A62" t="s">
        <v>6</v>
      </c>
      <c r="B62" s="20">
        <f>Table_supermarket_sales___Sheet1[[#This Row],[Cost Price]]+Table57[[#This Row],[Markup Cost]]</f>
        <v>28.450999999999997</v>
      </c>
      <c r="C62">
        <v>10</v>
      </c>
      <c r="D62" s="21">
        <f>Table4[[#This Row],[Selling Price]]-Table_supermarket_sales___Sheet1[[#This Row],[Cost Price]]</f>
        <v>3.7109999999999985</v>
      </c>
    </row>
    <row r="63" spans="1:4" x14ac:dyDescent="0.35">
      <c r="A63" t="s">
        <v>4</v>
      </c>
      <c r="B63" s="20">
        <f>Table_supermarket_sales___Sheet1[[#This Row],[Cost Price]]+Table57[[#This Row],[Markup Cost]]</f>
        <v>72.448999999999998</v>
      </c>
      <c r="C63">
        <v>6</v>
      </c>
      <c r="D63" s="21">
        <f>Table4[[#This Row],[Selling Price]]-Table_supermarket_sales___Sheet1[[#This Row],[Cost Price]]</f>
        <v>16.719000000000001</v>
      </c>
    </row>
    <row r="64" spans="1:4" x14ac:dyDescent="0.35">
      <c r="A64" t="s">
        <v>4</v>
      </c>
      <c r="B64" s="20">
        <f>Table_supermarket_sales___Sheet1[[#This Row],[Cost Price]]+Table57[[#This Row],[Markup Cost]]</f>
        <v>79.851500000000001</v>
      </c>
      <c r="C64">
        <v>1</v>
      </c>
      <c r="D64" s="21">
        <f>Table4[[#This Row],[Selling Price]]-Table_supermarket_sales___Sheet1[[#This Row],[Cost Price]]</f>
        <v>24.781500000000001</v>
      </c>
    </row>
    <row r="65" spans="1:4" x14ac:dyDescent="0.35">
      <c r="A65" t="s">
        <v>4</v>
      </c>
      <c r="B65" s="20">
        <f>Table_supermarket_sales___Sheet1[[#This Row],[Cost Price]]+Table57[[#This Row],[Markup Cost]]</f>
        <v>23.715</v>
      </c>
      <c r="C65">
        <v>8</v>
      </c>
      <c r="D65" s="21">
        <f>Table4[[#This Row],[Selling Price]]-Table_supermarket_sales___Sheet1[[#This Row],[Cost Price]]</f>
        <v>7.9049999999999994</v>
      </c>
    </row>
    <row r="66" spans="1:4" x14ac:dyDescent="0.35">
      <c r="A66" t="s">
        <v>5</v>
      </c>
      <c r="B66" s="20">
        <f>Table_supermarket_sales___Sheet1[[#This Row],[Cost Price]]+Table57[[#This Row],[Markup Cost]]</f>
        <v>90.887999999999991</v>
      </c>
      <c r="C66">
        <v>6</v>
      </c>
      <c r="D66" s="21">
        <f>Table4[[#This Row],[Selling Price]]-Table_supermarket_sales___Sheet1[[#This Row],[Cost Price]]</f>
        <v>15.147999999999996</v>
      </c>
    </row>
    <row r="67" spans="1:4" x14ac:dyDescent="0.35">
      <c r="A67" t="s">
        <v>6</v>
      </c>
      <c r="B67" s="20">
        <f>Table_supermarket_sales___Sheet1[[#This Row],[Cost Price]]+Table57[[#This Row],[Markup Cost]]</f>
        <v>23.805</v>
      </c>
      <c r="C67">
        <v>1</v>
      </c>
      <c r="D67" s="21">
        <f>Table4[[#This Row],[Selling Price]]-Table_supermarket_sales___Sheet1[[#This Row],[Cost Price]]</f>
        <v>7.9350000000000005</v>
      </c>
    </row>
    <row r="68" spans="1:4" x14ac:dyDescent="0.35">
      <c r="A68" t="s">
        <v>5</v>
      </c>
      <c r="B68" s="20">
        <f>Table_supermarket_sales___Sheet1[[#This Row],[Cost Price]]+Table57[[#This Row],[Markup Cost]]</f>
        <v>36.817</v>
      </c>
      <c r="C68">
        <v>1</v>
      </c>
      <c r="D68" s="21">
        <f>Table4[[#This Row],[Selling Price]]-Table_supermarket_sales___Sheet1[[#This Row],[Cost Price]]</f>
        <v>3.3470000000000013</v>
      </c>
    </row>
    <row r="69" spans="1:4" x14ac:dyDescent="0.35">
      <c r="A69" t="s">
        <v>3</v>
      </c>
      <c r="B69" s="20">
        <f>Table_supermarket_sales___Sheet1[[#This Row],[Cost Price]]+Table57[[#This Row],[Markup Cost]]</f>
        <v>126.893</v>
      </c>
      <c r="C69">
        <v>1</v>
      </c>
      <c r="D69" s="21">
        <f>Table4[[#This Row],[Selling Price]]-Table_supermarket_sales___Sheet1[[#This Row],[Cost Price]]</f>
        <v>29.283000000000001</v>
      </c>
    </row>
    <row r="70" spans="1:4" x14ac:dyDescent="0.35">
      <c r="A70" t="s">
        <v>3</v>
      </c>
      <c r="B70" s="20">
        <f>Table_supermarket_sales___Sheet1[[#This Row],[Cost Price]]+Table57[[#This Row],[Markup Cost]]</f>
        <v>118.155</v>
      </c>
      <c r="C70">
        <v>8</v>
      </c>
      <c r="D70" s="21">
        <f>Table4[[#This Row],[Selling Price]]-Table_supermarket_sales___Sheet1[[#This Row],[Cost Price]]</f>
        <v>39.385000000000005</v>
      </c>
    </row>
    <row r="71" spans="1:4" x14ac:dyDescent="0.35">
      <c r="A71" t="s">
        <v>6</v>
      </c>
      <c r="B71" s="20">
        <f>Table_supermarket_sales___Sheet1[[#This Row],[Cost Price]]+Table57[[#This Row],[Markup Cost]]</f>
        <v>19.246499999999997</v>
      </c>
      <c r="C71">
        <v>6</v>
      </c>
      <c r="D71" s="21">
        <f>Table4[[#This Row],[Selling Price]]-Table_supermarket_sales___Sheet1[[#This Row],[Cost Price]]</f>
        <v>0.9164999999999992</v>
      </c>
    </row>
    <row r="72" spans="1:4" x14ac:dyDescent="0.35">
      <c r="A72" t="s">
        <v>1</v>
      </c>
      <c r="B72" s="20">
        <f>Table_supermarket_sales___Sheet1[[#This Row],[Cost Price]]+Table57[[#This Row],[Markup Cost]]</f>
        <v>134.22</v>
      </c>
      <c r="C72">
        <v>6</v>
      </c>
      <c r="D72" s="21">
        <f>Table4[[#This Row],[Selling Price]]-Table_supermarket_sales___Sheet1[[#This Row],[Cost Price]]</f>
        <v>44.739999999999995</v>
      </c>
    </row>
    <row r="73" spans="1:4" x14ac:dyDescent="0.35">
      <c r="A73" t="s">
        <v>6</v>
      </c>
      <c r="B73" s="20">
        <f>Table_supermarket_sales___Sheet1[[#This Row],[Cost Price]]+Table57[[#This Row],[Markup Cost]]</f>
        <v>93.179999999999993</v>
      </c>
      <c r="C73">
        <v>2</v>
      </c>
      <c r="D73" s="21">
        <f>Table4[[#This Row],[Selling Price]]-Table_supermarket_sales___Sheet1[[#This Row],[Cost Price]]</f>
        <v>31.059999999999995</v>
      </c>
    </row>
    <row r="74" spans="1:4" x14ac:dyDescent="0.35">
      <c r="A74" t="s">
        <v>3</v>
      </c>
      <c r="B74" s="20">
        <f>Table_supermarket_sales___Sheet1[[#This Row],[Cost Price]]+Table57[[#This Row],[Markup Cost]]</f>
        <v>55.798000000000002</v>
      </c>
      <c r="C74">
        <v>8</v>
      </c>
      <c r="D74" s="21">
        <f>Table4[[#This Row],[Selling Price]]-Table_supermarket_sales___Sheet1[[#This Row],[Cost Price]]</f>
        <v>7.2779999999999987</v>
      </c>
    </row>
    <row r="75" spans="1:4" x14ac:dyDescent="0.35">
      <c r="A75" t="s">
        <v>4</v>
      </c>
      <c r="B75" s="20">
        <f>Table_supermarket_sales___Sheet1[[#This Row],[Cost Price]]+Table57[[#This Row],[Markup Cost]]</f>
        <v>98.682999999999993</v>
      </c>
      <c r="C75">
        <v>9</v>
      </c>
      <c r="D75" s="21">
        <f>Table4[[#This Row],[Selling Price]]-Table_supermarket_sales___Sheet1[[#This Row],[Cost Price]]</f>
        <v>22.772999999999996</v>
      </c>
    </row>
    <row r="76" spans="1:4" x14ac:dyDescent="0.35">
      <c r="A76" t="s">
        <v>2</v>
      </c>
      <c r="B76" s="20">
        <f>Table_supermarket_sales___Sheet1[[#This Row],[Cost Price]]+Table57[[#This Row],[Markup Cost]]</f>
        <v>108.2715</v>
      </c>
      <c r="C76">
        <v>8</v>
      </c>
      <c r="D76" s="21">
        <f>Table4[[#This Row],[Selling Price]]-Table_supermarket_sales___Sheet1[[#This Row],[Cost Price]]</f>
        <v>33.601500000000001</v>
      </c>
    </row>
    <row r="77" spans="1:4" x14ac:dyDescent="0.35">
      <c r="A77" t="s">
        <v>5</v>
      </c>
      <c r="B77" s="20">
        <f>Table_supermarket_sales___Sheet1[[#This Row],[Cost Price]]+Table57[[#This Row],[Markup Cost]]</f>
        <v>62.474999999999994</v>
      </c>
      <c r="C77">
        <v>6</v>
      </c>
      <c r="D77" s="21">
        <f>Table4[[#This Row],[Selling Price]]-Table_supermarket_sales___Sheet1[[#This Row],[Cost Price]]</f>
        <v>20.824999999999996</v>
      </c>
    </row>
    <row r="78" spans="1:4" x14ac:dyDescent="0.35">
      <c r="A78" t="s">
        <v>6</v>
      </c>
      <c r="B78" s="20">
        <f>Table_supermarket_sales___Sheet1[[#This Row],[Cost Price]]+Table57[[#This Row],[Markup Cost]]</f>
        <v>71.108000000000004</v>
      </c>
      <c r="C78">
        <v>9</v>
      </c>
      <c r="D78" s="21">
        <f>Table4[[#This Row],[Selling Price]]-Table_supermarket_sales___Sheet1[[#This Row],[Cost Price]]</f>
        <v>22.068000000000005</v>
      </c>
    </row>
    <row r="79" spans="1:4" x14ac:dyDescent="0.35">
      <c r="A79" t="s">
        <v>1</v>
      </c>
      <c r="B79" s="20">
        <f>Table_supermarket_sales___Sheet1[[#This Row],[Cost Price]]+Table57[[#This Row],[Markup Cost]]</f>
        <v>29.014500000000002</v>
      </c>
      <c r="C79">
        <v>3</v>
      </c>
      <c r="D79" s="21">
        <f>Table4[[#This Row],[Selling Price]]-Table_supermarket_sales___Sheet1[[#This Row],[Cost Price]]</f>
        <v>9.0045000000000002</v>
      </c>
    </row>
    <row r="80" spans="1:4" x14ac:dyDescent="0.35">
      <c r="A80" t="s">
        <v>6</v>
      </c>
      <c r="B80" s="20">
        <f>Table_supermarket_sales___Sheet1[[#This Row],[Cost Price]]+Table57[[#This Row],[Markup Cost]]</f>
        <v>117.465</v>
      </c>
      <c r="C80">
        <v>8</v>
      </c>
      <c r="D80" s="21">
        <f>Table4[[#This Row],[Selling Price]]-Table_supermarket_sales___Sheet1[[#This Row],[Cost Price]]</f>
        <v>39.155000000000001</v>
      </c>
    </row>
    <row r="81" spans="1:4" x14ac:dyDescent="0.35">
      <c r="A81" t="s">
        <v>6</v>
      </c>
      <c r="B81" s="20">
        <f>Table_supermarket_sales___Sheet1[[#This Row],[Cost Price]]+Table57[[#This Row],[Markup Cost]]</f>
        <v>25.474999999999998</v>
      </c>
      <c r="C81">
        <v>5</v>
      </c>
      <c r="D81" s="21">
        <f>Table4[[#This Row],[Selling Price]]-Table_supermarket_sales___Sheet1[[#This Row],[Cost Price]]</f>
        <v>5.0949999999999989</v>
      </c>
    </row>
    <row r="82" spans="1:4" x14ac:dyDescent="0.35">
      <c r="A82" t="s">
        <v>5</v>
      </c>
      <c r="B82" s="20">
        <f>Table_supermarket_sales___Sheet1[[#This Row],[Cost Price]]+Table57[[#This Row],[Markup Cost]]</f>
        <v>128.947</v>
      </c>
      <c r="C82">
        <v>10</v>
      </c>
      <c r="D82" s="21">
        <f>Table4[[#This Row],[Selling Price]]-Table_supermarket_sales___Sheet1[[#This Row],[Cost Price]]</f>
        <v>29.757000000000005</v>
      </c>
    </row>
    <row r="83" spans="1:4" x14ac:dyDescent="0.35">
      <c r="A83" t="s">
        <v>3</v>
      </c>
      <c r="B83" s="20">
        <f>Table_supermarket_sales___Sheet1[[#This Row],[Cost Price]]+Table57[[#This Row],[Markup Cost]]</f>
        <v>111.182</v>
      </c>
      <c r="C83">
        <v>6</v>
      </c>
      <c r="D83" s="21">
        <f>Table4[[#This Row],[Selling Price]]-Table_supermarket_sales___Sheet1[[#This Row],[Cost Price]]</f>
        <v>14.501999999999995</v>
      </c>
    </row>
    <row r="84" spans="1:4" x14ac:dyDescent="0.35">
      <c r="A84" t="s">
        <v>4</v>
      </c>
      <c r="B84" s="20">
        <f>Table_supermarket_sales___Sheet1[[#This Row],[Cost Price]]+Table57[[#This Row],[Markup Cost]]</f>
        <v>26.95</v>
      </c>
      <c r="C84">
        <v>3</v>
      </c>
      <c r="D84" s="21">
        <f>Table4[[#This Row],[Selling Price]]-Table_supermarket_sales___Sheet1[[#This Row],[Cost Price]]</f>
        <v>7.6999999999999993</v>
      </c>
    </row>
    <row r="85" spans="1:4" x14ac:dyDescent="0.35">
      <c r="A85" t="s">
        <v>5</v>
      </c>
      <c r="B85" s="20">
        <f>Table_supermarket_sales___Sheet1[[#This Row],[Cost Price]]+Table57[[#This Row],[Markup Cost]]</f>
        <v>96.432000000000002</v>
      </c>
      <c r="C85">
        <v>10</v>
      </c>
      <c r="D85" s="21">
        <f>Table4[[#This Row],[Selling Price]]-Table_supermarket_sales___Sheet1[[#This Row],[Cost Price]]</f>
        <v>16.072000000000003</v>
      </c>
    </row>
    <row r="86" spans="1:4" x14ac:dyDescent="0.35">
      <c r="A86" t="s">
        <v>3</v>
      </c>
      <c r="B86" s="20">
        <f>Table_supermarket_sales___Sheet1[[#This Row],[Cost Price]]+Table57[[#This Row],[Markup Cost]]</f>
        <v>61.137499999999996</v>
      </c>
      <c r="C86">
        <v>6</v>
      </c>
      <c r="D86" s="21">
        <f>Table4[[#This Row],[Selling Price]]-Table_supermarket_sales___Sheet1[[#This Row],[Cost Price]]</f>
        <v>12.227499999999999</v>
      </c>
    </row>
    <row r="87" spans="1:4" x14ac:dyDescent="0.35">
      <c r="A87" t="s">
        <v>3</v>
      </c>
      <c r="B87" s="20">
        <f>Table_supermarket_sales___Sheet1[[#This Row],[Cost Price]]+Table57[[#This Row],[Markup Cost]]</f>
        <v>112.131</v>
      </c>
      <c r="C87">
        <v>5</v>
      </c>
      <c r="D87" s="21">
        <f>Table4[[#This Row],[Selling Price]]-Table_supermarket_sales___Sheet1[[#This Row],[Cost Price]]</f>
        <v>29.070999999999998</v>
      </c>
    </row>
    <row r="88" spans="1:4" x14ac:dyDescent="0.35">
      <c r="A88" t="s">
        <v>1</v>
      </c>
      <c r="B88" s="20">
        <f>Table_supermarket_sales___Sheet1[[#This Row],[Cost Price]]+Table57[[#This Row],[Markup Cost]]</f>
        <v>95.649999999999991</v>
      </c>
      <c r="C88">
        <v>6</v>
      </c>
      <c r="D88" s="21">
        <f>Table4[[#This Row],[Selling Price]]-Table_supermarket_sales___Sheet1[[#This Row],[Cost Price]]</f>
        <v>19.129999999999995</v>
      </c>
    </row>
    <row r="89" spans="1:4" x14ac:dyDescent="0.35">
      <c r="A89" t="s">
        <v>4</v>
      </c>
      <c r="B89" s="20">
        <f>Table_supermarket_sales___Sheet1[[#This Row],[Cost Price]]+Table57[[#This Row],[Markup Cost]]</f>
        <v>66.663000000000011</v>
      </c>
      <c r="C89">
        <v>10</v>
      </c>
      <c r="D89" s="21">
        <f>Table4[[#This Row],[Selling Price]]-Table_supermarket_sales___Sheet1[[#This Row],[Cost Price]]</f>
        <v>17.283000000000008</v>
      </c>
    </row>
    <row r="90" spans="1:4" x14ac:dyDescent="0.35">
      <c r="A90" t="s">
        <v>1</v>
      </c>
      <c r="B90" s="20">
        <f>Table_supermarket_sales___Sheet1[[#This Row],[Cost Price]]+Table57[[#This Row],[Markup Cost]]</f>
        <v>44.593499999999999</v>
      </c>
      <c r="C90">
        <v>5</v>
      </c>
      <c r="D90" s="21">
        <f>Table4[[#This Row],[Selling Price]]-Table_supermarket_sales___Sheet1[[#This Row],[Cost Price]]</f>
        <v>2.1234999999999999</v>
      </c>
    </row>
    <row r="91" spans="1:4" x14ac:dyDescent="0.35">
      <c r="A91" t="s">
        <v>1</v>
      </c>
      <c r="B91" s="20">
        <f>Table_supermarket_sales___Sheet1[[#This Row],[Cost Price]]+Table57[[#This Row],[Markup Cost]]</f>
        <v>100.08699999999999</v>
      </c>
      <c r="C91">
        <v>1</v>
      </c>
      <c r="D91" s="21">
        <f>Table4[[#This Row],[Selling Price]]-Table_supermarket_sales___Sheet1[[#This Row],[Cost Price]]</f>
        <v>23.096999999999994</v>
      </c>
    </row>
    <row r="92" spans="1:4" x14ac:dyDescent="0.35">
      <c r="A92" t="s">
        <v>5</v>
      </c>
      <c r="B92" s="20">
        <f>Table_supermarket_sales___Sheet1[[#This Row],[Cost Price]]+Table57[[#This Row],[Markup Cost]]</f>
        <v>56.856000000000002</v>
      </c>
      <c r="C92">
        <v>1</v>
      </c>
      <c r="D92" s="21">
        <f>Table4[[#This Row],[Selling Price]]-Table_supermarket_sales___Sheet1[[#This Row],[Cost Price]]</f>
        <v>9.4759999999999991</v>
      </c>
    </row>
    <row r="93" spans="1:4" x14ac:dyDescent="0.35">
      <c r="A93" t="s">
        <v>1</v>
      </c>
      <c r="B93" s="20">
        <f>Table_supermarket_sales___Sheet1[[#This Row],[Cost Price]]+Table57[[#This Row],[Markup Cost]]</f>
        <v>67.289999999999992</v>
      </c>
      <c r="C93">
        <v>8</v>
      </c>
      <c r="D93" s="21">
        <f>Table4[[#This Row],[Selling Price]]-Table_supermarket_sales___Sheet1[[#This Row],[Cost Price]]</f>
        <v>22.429999999999993</v>
      </c>
    </row>
    <row r="94" spans="1:4" x14ac:dyDescent="0.35">
      <c r="A94" t="s">
        <v>6</v>
      </c>
      <c r="B94" s="20">
        <f>Table_supermarket_sales___Sheet1[[#This Row],[Cost Price]]+Table57[[#This Row],[Markup Cost]]</f>
        <v>29.673000000000002</v>
      </c>
      <c r="C94">
        <v>9</v>
      </c>
      <c r="D94" s="21">
        <f>Table4[[#This Row],[Selling Price]]-Table_supermarket_sales___Sheet1[[#This Row],[Cost Price]]</f>
        <v>7.6930000000000014</v>
      </c>
    </row>
    <row r="95" spans="1:4" x14ac:dyDescent="0.35">
      <c r="A95" t="s">
        <v>5</v>
      </c>
      <c r="B95" s="20">
        <f>Table_supermarket_sales___Sheet1[[#This Row],[Cost Price]]+Table57[[#This Row],[Markup Cost]]</f>
        <v>93.322000000000003</v>
      </c>
      <c r="C95">
        <v>3</v>
      </c>
      <c r="D95" s="21">
        <f>Table4[[#This Row],[Selling Price]]-Table_supermarket_sales___Sheet1[[#This Row],[Cost Price]]</f>
        <v>28.962000000000003</v>
      </c>
    </row>
    <row r="96" spans="1:4" x14ac:dyDescent="0.35">
      <c r="A96" t="s">
        <v>1</v>
      </c>
      <c r="B96" s="20">
        <f>Table_supermarket_sales___Sheet1[[#This Row],[Cost Price]]+Table57[[#This Row],[Markup Cost]]</f>
        <v>94.237499999999997</v>
      </c>
      <c r="C96">
        <v>8</v>
      </c>
      <c r="D96" s="21">
        <f>Table4[[#This Row],[Selling Price]]-Table_supermarket_sales___Sheet1[[#This Row],[Cost Price]]</f>
        <v>4.4874999999999972</v>
      </c>
    </row>
    <row r="97" spans="1:4" x14ac:dyDescent="0.35">
      <c r="A97" t="s">
        <v>3</v>
      </c>
      <c r="B97" s="20">
        <f>Table_supermarket_sales___Sheet1[[#This Row],[Cost Price]]+Table57[[#This Row],[Markup Cost]]</f>
        <v>102.018</v>
      </c>
      <c r="C97">
        <v>4</v>
      </c>
      <c r="D97" s="21">
        <f>Table4[[#This Row],[Selling Price]]-Table_supermarket_sales___Sheet1[[#This Row],[Cost Price]]</f>
        <v>4.8580000000000041</v>
      </c>
    </row>
    <row r="98" spans="1:4" x14ac:dyDescent="0.35">
      <c r="A98" t="s">
        <v>5</v>
      </c>
      <c r="B98" s="20">
        <f>Table_supermarket_sales___Sheet1[[#This Row],[Cost Price]]+Table57[[#This Row],[Markup Cost]]</f>
        <v>131.80500000000001</v>
      </c>
      <c r="C98">
        <v>10</v>
      </c>
      <c r="D98" s="21">
        <f>Table4[[#This Row],[Selling Price]]-Table_supermarket_sales___Sheet1[[#This Row],[Cost Price]]</f>
        <v>43.935000000000002</v>
      </c>
    </row>
    <row r="99" spans="1:4" x14ac:dyDescent="0.35">
      <c r="A99" t="s">
        <v>4</v>
      </c>
      <c r="B99" s="20">
        <f>Table_supermarket_sales___Sheet1[[#This Row],[Cost Price]]+Table57[[#This Row],[Markup Cost]]</f>
        <v>16.184999999999999</v>
      </c>
      <c r="C99">
        <v>1</v>
      </c>
      <c r="D99" s="21">
        <f>Table4[[#This Row],[Selling Price]]-Table_supermarket_sales___Sheet1[[#This Row],[Cost Price]]</f>
        <v>3.7349999999999994</v>
      </c>
    </row>
    <row r="100" spans="1:4" x14ac:dyDescent="0.35">
      <c r="A100" t="s">
        <v>5</v>
      </c>
      <c r="B100" s="20">
        <f>Table_supermarket_sales___Sheet1[[#This Row],[Cost Price]]+Table57[[#This Row],[Markup Cost]]</f>
        <v>60.662500000000001</v>
      </c>
      <c r="C100">
        <v>3</v>
      </c>
      <c r="D100" s="21">
        <f>Table4[[#This Row],[Selling Price]]-Table_supermarket_sales___Sheet1[[#This Row],[Cost Price]]</f>
        <v>7.9125000000000014</v>
      </c>
    </row>
    <row r="101" spans="1:4" x14ac:dyDescent="0.35">
      <c r="A101" t="s">
        <v>3</v>
      </c>
      <c r="B101" s="20">
        <f>Table_supermarket_sales___Sheet1[[#This Row],[Cost Price]]+Table57[[#This Row],[Markup Cost]]</f>
        <v>107.51</v>
      </c>
      <c r="C101">
        <v>10</v>
      </c>
      <c r="D101" s="21">
        <f>Table4[[#This Row],[Selling Price]]-Table_supermarket_sales___Sheet1[[#This Row],[Cost Price]]</f>
        <v>24.810000000000002</v>
      </c>
    </row>
    <row r="102" spans="1:4" x14ac:dyDescent="0.35">
      <c r="A102" t="s">
        <v>2</v>
      </c>
      <c r="B102" s="20">
        <f>Table_supermarket_sales___Sheet1[[#This Row],[Cost Price]]+Table57[[#This Row],[Markup Cost]]</f>
        <v>51.145499999999998</v>
      </c>
      <c r="C102">
        <v>3</v>
      </c>
      <c r="D102" s="21">
        <f>Table4[[#This Row],[Selling Price]]-Table_supermarket_sales___Sheet1[[#This Row],[Cost Price]]</f>
        <v>2.4354999999999976</v>
      </c>
    </row>
    <row r="103" spans="1:4" x14ac:dyDescent="0.35">
      <c r="A103" t="s">
        <v>6</v>
      </c>
      <c r="B103" s="20">
        <f>Table_supermarket_sales___Sheet1[[#This Row],[Cost Price]]+Table57[[#This Row],[Markup Cost]]</f>
        <v>113.89749999999999</v>
      </c>
      <c r="C103">
        <v>10</v>
      </c>
      <c r="D103" s="21">
        <f>Table4[[#This Row],[Selling Price]]-Table_supermarket_sales___Sheet1[[#This Row],[Cost Price]]</f>
        <v>35.347499999999997</v>
      </c>
    </row>
    <row r="104" spans="1:4" x14ac:dyDescent="0.35">
      <c r="A104" t="s">
        <v>3</v>
      </c>
      <c r="B104" s="20">
        <f>Table_supermarket_sales___Sheet1[[#This Row],[Cost Price]]+Table57[[#This Row],[Markup Cost]]</f>
        <v>33.451500000000003</v>
      </c>
      <c r="C104">
        <v>6</v>
      </c>
      <c r="D104" s="21">
        <f>Table4[[#This Row],[Selling Price]]-Table_supermarket_sales___Sheet1[[#This Row],[Cost Price]]</f>
        <v>10.381500000000003</v>
      </c>
    </row>
    <row r="105" spans="1:4" x14ac:dyDescent="0.35">
      <c r="A105" t="s">
        <v>6</v>
      </c>
      <c r="B105" s="20">
        <f>Table_supermarket_sales___Sheet1[[#This Row],[Cost Price]]+Table57[[#This Row],[Markup Cost]]</f>
        <v>75.738</v>
      </c>
      <c r="C105">
        <v>6</v>
      </c>
      <c r="D105" s="21">
        <f>Table4[[#This Row],[Selling Price]]-Table_supermarket_sales___Sheet1[[#This Row],[Cost Price]]</f>
        <v>17.478000000000002</v>
      </c>
    </row>
    <row r="106" spans="1:4" x14ac:dyDescent="0.35">
      <c r="A106" t="s">
        <v>2</v>
      </c>
      <c r="B106" s="20">
        <f>Table_supermarket_sales___Sheet1[[#This Row],[Cost Price]]+Table57[[#This Row],[Markup Cost]]</f>
        <v>40.972500000000004</v>
      </c>
      <c r="C106">
        <v>7</v>
      </c>
      <c r="D106" s="21">
        <f>Table4[[#This Row],[Selling Price]]-Table_supermarket_sales___Sheet1[[#This Row],[Cost Price]]</f>
        <v>10.622500000000002</v>
      </c>
    </row>
    <row r="107" spans="1:4" x14ac:dyDescent="0.35">
      <c r="A107" t="s">
        <v>4</v>
      </c>
      <c r="B107" s="20">
        <f>Table_supermarket_sales___Sheet1[[#This Row],[Cost Price]]+Table57[[#This Row],[Markup Cost]]</f>
        <v>133.005</v>
      </c>
      <c r="C107">
        <v>1</v>
      </c>
      <c r="D107" s="21">
        <f>Table4[[#This Row],[Selling Price]]-Table_supermarket_sales___Sheet1[[#This Row],[Cost Price]]</f>
        <v>44.334999999999994</v>
      </c>
    </row>
    <row r="108" spans="1:4" x14ac:dyDescent="0.35">
      <c r="A108" t="s">
        <v>2</v>
      </c>
      <c r="B108" s="20">
        <f>Table_supermarket_sales___Sheet1[[#This Row],[Cost Price]]+Table57[[#This Row],[Markup Cost]]</f>
        <v>35.594000000000001</v>
      </c>
      <c r="C108">
        <v>9</v>
      </c>
      <c r="D108" s="21">
        <f>Table4[[#This Row],[Selling Price]]-Table_supermarket_sales___Sheet1[[#This Row],[Cost Price]]</f>
        <v>8.2140000000000022</v>
      </c>
    </row>
    <row r="109" spans="1:4" x14ac:dyDescent="0.35">
      <c r="A109" t="s">
        <v>2</v>
      </c>
      <c r="B109" s="20">
        <f>Table_supermarket_sales___Sheet1[[#This Row],[Cost Price]]+Table57[[#This Row],[Markup Cost]]</f>
        <v>80.769000000000005</v>
      </c>
      <c r="C109">
        <v>4</v>
      </c>
      <c r="D109" s="21">
        <f>Table4[[#This Row],[Selling Price]]-Table_supermarket_sales___Sheet1[[#This Row],[Cost Price]]</f>
        <v>18.639000000000003</v>
      </c>
    </row>
    <row r="110" spans="1:4" x14ac:dyDescent="0.35">
      <c r="A110" t="s">
        <v>6</v>
      </c>
      <c r="B110" s="20">
        <f>Table_supermarket_sales___Sheet1[[#This Row],[Cost Price]]+Table57[[#This Row],[Markup Cost]]</f>
        <v>49.271000000000001</v>
      </c>
      <c r="C110">
        <v>3</v>
      </c>
      <c r="D110" s="21">
        <f>Table4[[#This Row],[Selling Price]]-Table_supermarket_sales___Sheet1[[#This Row],[Cost Price]]</f>
        <v>15.291000000000004</v>
      </c>
    </row>
    <row r="111" spans="1:4" x14ac:dyDescent="0.35">
      <c r="A111" t="s">
        <v>1</v>
      </c>
      <c r="B111" s="20">
        <f>Table_supermarket_sales___Sheet1[[#This Row],[Cost Price]]+Table57[[#This Row],[Markup Cost]]</f>
        <v>122.955</v>
      </c>
      <c r="C111">
        <v>1</v>
      </c>
      <c r="D111" s="21">
        <f>Table4[[#This Row],[Selling Price]]-Table_supermarket_sales___Sheet1[[#This Row],[Cost Price]]</f>
        <v>40.984999999999999</v>
      </c>
    </row>
    <row r="112" spans="1:4" x14ac:dyDescent="0.35">
      <c r="A112" t="s">
        <v>4</v>
      </c>
      <c r="B112" s="20">
        <f>Table_supermarket_sales___Sheet1[[#This Row],[Cost Price]]+Table57[[#This Row],[Markup Cost]]</f>
        <v>18.138999999999999</v>
      </c>
      <c r="C112">
        <v>7</v>
      </c>
      <c r="D112" s="21">
        <f>Table4[[#This Row],[Selling Price]]-Table_supermarket_sales___Sheet1[[#This Row],[Cost Price]]</f>
        <v>1.6490000000000009</v>
      </c>
    </row>
    <row r="113" spans="1:4" x14ac:dyDescent="0.35">
      <c r="A113" t="s">
        <v>1</v>
      </c>
      <c r="B113" s="20">
        <f>Table_supermarket_sales___Sheet1[[#This Row],[Cost Price]]+Table57[[#This Row],[Markup Cost]]</f>
        <v>112.94149999999999</v>
      </c>
      <c r="C113">
        <v>5</v>
      </c>
      <c r="D113" s="21">
        <f>Table4[[#This Row],[Selling Price]]-Table_supermarket_sales___Sheet1[[#This Row],[Cost Price]]</f>
        <v>14.731499999999997</v>
      </c>
    </row>
    <row r="114" spans="1:4" x14ac:dyDescent="0.35">
      <c r="A114" t="s">
        <v>3</v>
      </c>
      <c r="B114" s="20">
        <f>Table_supermarket_sales___Sheet1[[#This Row],[Cost Price]]+Table57[[#This Row],[Markup Cost]]</f>
        <v>98.334000000000003</v>
      </c>
      <c r="C114">
        <v>1</v>
      </c>
      <c r="D114" s="21">
        <f>Table4[[#This Row],[Selling Price]]-Table_supermarket_sales___Sheet1[[#This Row],[Cost Price]]</f>
        <v>25.494</v>
      </c>
    </row>
    <row r="115" spans="1:4" x14ac:dyDescent="0.35">
      <c r="A115" t="s">
        <v>2</v>
      </c>
      <c r="B115" s="20">
        <f>Table_supermarket_sales___Sheet1[[#This Row],[Cost Price]]+Table57[[#This Row],[Markup Cost]]</f>
        <v>84.201499999999996</v>
      </c>
      <c r="C115">
        <v>8</v>
      </c>
      <c r="D115" s="21">
        <f>Table4[[#This Row],[Selling Price]]-Table_supermarket_sales___Sheet1[[#This Row],[Cost Price]]</f>
        <v>26.131499999999996</v>
      </c>
    </row>
    <row r="116" spans="1:4" x14ac:dyDescent="0.35">
      <c r="A116" t="s">
        <v>6</v>
      </c>
      <c r="B116" s="20">
        <f>Table_supermarket_sales___Sheet1[[#This Row],[Cost Price]]+Table57[[#This Row],[Markup Cost]]</f>
        <v>117.1455</v>
      </c>
      <c r="C116">
        <v>2</v>
      </c>
      <c r="D116" s="21">
        <f>Table4[[#This Row],[Selling Price]]-Table_supermarket_sales___Sheet1[[#This Row],[Cost Price]]</f>
        <v>36.355499999999992</v>
      </c>
    </row>
    <row r="117" spans="1:4" x14ac:dyDescent="0.35">
      <c r="A117" t="s">
        <v>5</v>
      </c>
      <c r="B117" s="20">
        <f>Table_supermarket_sales___Sheet1[[#This Row],[Cost Price]]+Table57[[#This Row],[Markup Cost]]</f>
        <v>31.073</v>
      </c>
      <c r="C117">
        <v>5</v>
      </c>
      <c r="D117" s="21">
        <f>Table4[[#This Row],[Selling Price]]-Table_supermarket_sales___Sheet1[[#This Row],[Cost Price]]</f>
        <v>4.0530000000000008</v>
      </c>
    </row>
    <row r="118" spans="1:4" x14ac:dyDescent="0.35">
      <c r="A118" t="s">
        <v>2</v>
      </c>
      <c r="B118" s="20">
        <f>Table_supermarket_sales___Sheet1[[#This Row],[Cost Price]]+Table57[[#This Row],[Markup Cost]]</f>
        <v>27.425000000000001</v>
      </c>
      <c r="C118">
        <v>6</v>
      </c>
      <c r="D118" s="21">
        <f>Table4[[#This Row],[Selling Price]]-Table_supermarket_sales___Sheet1[[#This Row],[Cost Price]]</f>
        <v>5.4849999999999994</v>
      </c>
    </row>
    <row r="119" spans="1:4" x14ac:dyDescent="0.35">
      <c r="A119" t="s">
        <v>6</v>
      </c>
      <c r="B119" s="20">
        <f>Table_supermarket_sales___Sheet1[[#This Row],[Cost Price]]+Table57[[#This Row],[Markup Cost]]</f>
        <v>53.927999999999997</v>
      </c>
      <c r="C119">
        <v>9</v>
      </c>
      <c r="D119" s="21">
        <f>Table4[[#This Row],[Selling Price]]-Table_supermarket_sales___Sheet1[[#This Row],[Cost Price]]</f>
        <v>2.5679999999999978</v>
      </c>
    </row>
    <row r="120" spans="1:4" x14ac:dyDescent="0.35">
      <c r="A120" t="s">
        <v>2</v>
      </c>
      <c r="B120" s="20">
        <f>Table_supermarket_sales___Sheet1[[#This Row],[Cost Price]]+Table57[[#This Row],[Markup Cost]]</f>
        <v>16.440000000000001</v>
      </c>
      <c r="C120">
        <v>6</v>
      </c>
      <c r="D120" s="21">
        <f>Table4[[#This Row],[Selling Price]]-Table_supermarket_sales___Sheet1[[#This Row],[Cost Price]]</f>
        <v>5.48</v>
      </c>
    </row>
    <row r="121" spans="1:4" x14ac:dyDescent="0.35">
      <c r="A121" t="s">
        <v>5</v>
      </c>
      <c r="B121" s="20">
        <f>Table_supermarket_sales___Sheet1[[#This Row],[Cost Price]]+Table57[[#This Row],[Markup Cost]]</f>
        <v>58.783999999999999</v>
      </c>
      <c r="C121">
        <v>2</v>
      </c>
      <c r="D121" s="21">
        <f>Table4[[#This Row],[Selling Price]]-Table_supermarket_sales___Sheet1[[#This Row],[Cost Price]]</f>
        <v>5.3440000000000012</v>
      </c>
    </row>
    <row r="122" spans="1:4" x14ac:dyDescent="0.35">
      <c r="A122" t="s">
        <v>6</v>
      </c>
      <c r="B122" s="20">
        <f>Table_supermarket_sales___Sheet1[[#This Row],[Cost Price]]+Table57[[#This Row],[Markup Cost]]</f>
        <v>139.38400000000001</v>
      </c>
      <c r="C122">
        <v>10</v>
      </c>
      <c r="D122" s="21">
        <f>Table4[[#This Row],[Selling Price]]-Table_supermarket_sales___Sheet1[[#This Row],[Cost Price]]</f>
        <v>39.824000000000012</v>
      </c>
    </row>
    <row r="123" spans="1:4" x14ac:dyDescent="0.35">
      <c r="A123" t="s">
        <v>1</v>
      </c>
      <c r="B123" s="20">
        <f>Table_supermarket_sales___Sheet1[[#This Row],[Cost Price]]+Table57[[#This Row],[Markup Cost]]</f>
        <v>77.111999999999995</v>
      </c>
      <c r="C123">
        <v>1</v>
      </c>
      <c r="D123" s="21">
        <f>Table4[[#This Row],[Selling Price]]-Table_supermarket_sales___Sheet1[[#This Row],[Cost Price]]</f>
        <v>19.991999999999997</v>
      </c>
    </row>
    <row r="124" spans="1:4" x14ac:dyDescent="0.35">
      <c r="A124" t="s">
        <v>2</v>
      </c>
      <c r="B124" s="20">
        <f>Table_supermarket_sales___Sheet1[[#This Row],[Cost Price]]+Table57[[#This Row],[Markup Cost]]</f>
        <v>144.94200000000001</v>
      </c>
      <c r="C124">
        <v>8</v>
      </c>
      <c r="D124" s="21">
        <f>Table4[[#This Row],[Selling Price]]-Table_supermarket_sales___Sheet1[[#This Row],[Cost Price]]</f>
        <v>44.982000000000014</v>
      </c>
    </row>
    <row r="125" spans="1:4" x14ac:dyDescent="0.35">
      <c r="A125" t="s">
        <v>3</v>
      </c>
      <c r="B125" s="20">
        <f>Table_supermarket_sales___Sheet1[[#This Row],[Cost Price]]+Table57[[#This Row],[Markup Cost]]</f>
        <v>89.47399999999999</v>
      </c>
      <c r="C125">
        <v>9</v>
      </c>
      <c r="D125" s="21">
        <f>Table4[[#This Row],[Selling Price]]-Table_supermarket_sales___Sheet1[[#This Row],[Cost Price]]</f>
        <v>25.563999999999993</v>
      </c>
    </row>
    <row r="126" spans="1:4" x14ac:dyDescent="0.35">
      <c r="A126" t="s">
        <v>3</v>
      </c>
      <c r="B126" s="20">
        <f>Table_supermarket_sales___Sheet1[[#This Row],[Cost Price]]+Table57[[#This Row],[Markup Cost]]</f>
        <v>79.057999999999993</v>
      </c>
      <c r="C126">
        <v>4</v>
      </c>
      <c r="D126" s="21">
        <f>Table4[[#This Row],[Selling Price]]-Table_supermarket_sales___Sheet1[[#This Row],[Cost Price]]</f>
        <v>22.587999999999994</v>
      </c>
    </row>
    <row r="127" spans="1:4" x14ac:dyDescent="0.35">
      <c r="A127" t="s">
        <v>2</v>
      </c>
      <c r="B127" s="20">
        <f>Table_supermarket_sales___Sheet1[[#This Row],[Cost Price]]+Table57[[#This Row],[Markup Cost]]</f>
        <v>126.4815</v>
      </c>
      <c r="C127">
        <v>4</v>
      </c>
      <c r="D127" s="21">
        <f>Table4[[#This Row],[Selling Price]]-Table_supermarket_sales___Sheet1[[#This Row],[Cost Price]]</f>
        <v>32.791499999999999</v>
      </c>
    </row>
    <row r="128" spans="1:4" x14ac:dyDescent="0.35">
      <c r="A128" t="s">
        <v>3</v>
      </c>
      <c r="B128" s="20">
        <f>Table_supermarket_sales___Sheet1[[#This Row],[Cost Price]]+Table57[[#This Row],[Markup Cost]]</f>
        <v>40.3125</v>
      </c>
      <c r="C128">
        <v>10</v>
      </c>
      <c r="D128" s="21">
        <f>Table4[[#This Row],[Selling Price]]-Table_supermarket_sales___Sheet1[[#This Row],[Cost Price]]</f>
        <v>8.0625</v>
      </c>
    </row>
    <row r="129" spans="1:4" x14ac:dyDescent="0.35">
      <c r="A129" t="s">
        <v>1</v>
      </c>
      <c r="B129" s="20">
        <f>Table_supermarket_sales___Sheet1[[#This Row],[Cost Price]]+Table57[[#This Row],[Markup Cost]]</f>
        <v>46.008499999999998</v>
      </c>
      <c r="C129">
        <v>5</v>
      </c>
      <c r="D129" s="21">
        <f>Table4[[#This Row],[Selling Price]]-Table_supermarket_sales___Sheet1[[#This Row],[Cost Price]]</f>
        <v>14.278499999999998</v>
      </c>
    </row>
    <row r="130" spans="1:4" x14ac:dyDescent="0.35">
      <c r="A130" t="s">
        <v>5</v>
      </c>
      <c r="B130" s="20">
        <f>Table_supermarket_sales___Sheet1[[#This Row],[Cost Price]]+Table57[[#This Row],[Markup Cost]]</f>
        <v>95.956000000000003</v>
      </c>
      <c r="C130">
        <v>9</v>
      </c>
      <c r="D130" s="21">
        <f>Table4[[#This Row],[Selling Price]]-Table_supermarket_sales___Sheet1[[#This Row],[Cost Price]]</f>
        <v>27.415999999999997</v>
      </c>
    </row>
    <row r="131" spans="1:4" x14ac:dyDescent="0.35">
      <c r="A131" t="s">
        <v>5</v>
      </c>
      <c r="B131" s="20">
        <f>Table_supermarket_sales___Sheet1[[#This Row],[Cost Price]]+Table57[[#This Row],[Markup Cost]]</f>
        <v>130.90600000000001</v>
      </c>
      <c r="C131">
        <v>4</v>
      </c>
      <c r="D131" s="21">
        <f>Table4[[#This Row],[Selling Price]]-Table_supermarket_sales___Sheet1[[#This Row],[Cost Price]]</f>
        <v>40.626000000000005</v>
      </c>
    </row>
    <row r="132" spans="1:4" x14ac:dyDescent="0.35">
      <c r="A132" t="s">
        <v>1</v>
      </c>
      <c r="B132" s="20">
        <f>Table_supermarket_sales___Sheet1[[#This Row],[Cost Price]]+Table57[[#This Row],[Markup Cost]]</f>
        <v>53.486999999999995</v>
      </c>
      <c r="C132">
        <v>2</v>
      </c>
      <c r="D132" s="21">
        <f>Table4[[#This Row],[Selling Price]]-Table_supermarket_sales___Sheet1[[#This Row],[Cost Price]]</f>
        <v>13.866999999999997</v>
      </c>
    </row>
    <row r="133" spans="1:4" x14ac:dyDescent="0.35">
      <c r="A133" t="s">
        <v>5</v>
      </c>
      <c r="B133" s="20">
        <f>Table_supermarket_sales___Sheet1[[#This Row],[Cost Price]]+Table57[[#This Row],[Markup Cost]]</f>
        <v>119.76899999999999</v>
      </c>
      <c r="C133">
        <v>9</v>
      </c>
      <c r="D133" s="21">
        <f>Table4[[#This Row],[Selling Price]]-Table_supermarket_sales___Sheet1[[#This Row],[Cost Price]]</f>
        <v>27.638999999999996</v>
      </c>
    </row>
    <row r="134" spans="1:4" x14ac:dyDescent="0.35">
      <c r="A134" t="s">
        <v>2</v>
      </c>
      <c r="B134" s="20">
        <f>Table_supermarket_sales___Sheet1[[#This Row],[Cost Price]]+Table57[[#This Row],[Markup Cost]]</f>
        <v>41.808000000000007</v>
      </c>
      <c r="C134">
        <v>8</v>
      </c>
      <c r="D134" s="21">
        <f>Table4[[#This Row],[Selling Price]]-Table_supermarket_sales___Sheet1[[#This Row],[Cost Price]]</f>
        <v>6.9680000000000035</v>
      </c>
    </row>
    <row r="135" spans="1:4" x14ac:dyDescent="0.35">
      <c r="A135" t="s">
        <v>6</v>
      </c>
      <c r="B135" s="20">
        <f>Table_supermarket_sales___Sheet1[[#This Row],[Cost Price]]+Table57[[#This Row],[Markup Cost]]</f>
        <v>113.685</v>
      </c>
      <c r="C135">
        <v>1</v>
      </c>
      <c r="D135" s="21">
        <f>Table4[[#This Row],[Selling Price]]-Table_supermarket_sales___Sheet1[[#This Row],[Cost Price]]</f>
        <v>26.234999999999999</v>
      </c>
    </row>
    <row r="136" spans="1:4" x14ac:dyDescent="0.35">
      <c r="A136" t="s">
        <v>4</v>
      </c>
      <c r="B136" s="20">
        <f>Table_supermarket_sales___Sheet1[[#This Row],[Cost Price]]+Table57[[#This Row],[Markup Cost]]</f>
        <v>105.69</v>
      </c>
      <c r="C136">
        <v>7</v>
      </c>
      <c r="D136" s="21">
        <f>Table4[[#This Row],[Selling Price]]-Table_supermarket_sales___Sheet1[[#This Row],[Cost Price]]</f>
        <v>24.39</v>
      </c>
    </row>
    <row r="137" spans="1:4" x14ac:dyDescent="0.35">
      <c r="A137" t="s">
        <v>6</v>
      </c>
      <c r="B137" s="20">
        <f>Table_supermarket_sales___Sheet1[[#This Row],[Cost Price]]+Table57[[#This Row],[Markup Cost]]</f>
        <v>103.753</v>
      </c>
      <c r="C137">
        <v>9</v>
      </c>
      <c r="D137" s="21">
        <f>Table4[[#This Row],[Selling Price]]-Table_supermarket_sales___Sheet1[[#This Row],[Cost Price]]</f>
        <v>13.533000000000001</v>
      </c>
    </row>
    <row r="138" spans="1:4" x14ac:dyDescent="0.35">
      <c r="A138" t="s">
        <v>4</v>
      </c>
      <c r="B138" s="20">
        <f>Table_supermarket_sales___Sheet1[[#This Row],[Cost Price]]+Table57[[#This Row],[Markup Cost]]</f>
        <v>32.887499999999996</v>
      </c>
      <c r="C138">
        <v>7</v>
      </c>
      <c r="D138" s="21">
        <f>Table4[[#This Row],[Selling Price]]-Table_supermarket_sales___Sheet1[[#This Row],[Cost Price]]</f>
        <v>6.577499999999997</v>
      </c>
    </row>
    <row r="139" spans="1:4" x14ac:dyDescent="0.35">
      <c r="A139" t="s">
        <v>3</v>
      </c>
      <c r="B139" s="20">
        <f>Table_supermarket_sales___Sheet1[[#This Row],[Cost Price]]+Table57[[#This Row],[Markup Cost]]</f>
        <v>44.746000000000002</v>
      </c>
      <c r="C139">
        <v>4</v>
      </c>
      <c r="D139" s="21">
        <f>Table4[[#This Row],[Selling Price]]-Table_supermarket_sales___Sheet1[[#This Row],[Cost Price]]</f>
        <v>10.326000000000001</v>
      </c>
    </row>
    <row r="140" spans="1:4" x14ac:dyDescent="0.35">
      <c r="A140" t="s">
        <v>2</v>
      </c>
      <c r="B140" s="20">
        <f>Table_supermarket_sales___Sheet1[[#This Row],[Cost Price]]+Table57[[#This Row],[Markup Cost]]</f>
        <v>77.864999999999995</v>
      </c>
      <c r="C140">
        <v>6</v>
      </c>
      <c r="D140" s="21">
        <f>Table4[[#This Row],[Selling Price]]-Table_supermarket_sales___Sheet1[[#This Row],[Cost Price]]</f>
        <v>25.954999999999998</v>
      </c>
    </row>
    <row r="141" spans="1:4" x14ac:dyDescent="0.35">
      <c r="A141" t="s">
        <v>2</v>
      </c>
      <c r="B141" s="20">
        <f>Table_supermarket_sales___Sheet1[[#This Row],[Cost Price]]+Table57[[#This Row],[Markup Cost]]</f>
        <v>101.5</v>
      </c>
      <c r="C141">
        <v>1</v>
      </c>
      <c r="D141" s="21">
        <f>Table4[[#This Row],[Selling Price]]-Table_supermarket_sales___Sheet1[[#This Row],[Cost Price]]</f>
        <v>29</v>
      </c>
    </row>
    <row r="142" spans="1:4" x14ac:dyDescent="0.35">
      <c r="A142" t="s">
        <v>5</v>
      </c>
      <c r="B142" s="20">
        <f>Table_supermarket_sales___Sheet1[[#This Row],[Cost Price]]+Table57[[#This Row],[Markup Cost]]</f>
        <v>134.69999999999999</v>
      </c>
      <c r="C142">
        <v>1</v>
      </c>
      <c r="D142" s="21">
        <f>Table4[[#This Row],[Selling Price]]-Table_supermarket_sales___Sheet1[[#This Row],[Cost Price]]</f>
        <v>44.899999999999991</v>
      </c>
    </row>
    <row r="143" spans="1:4" x14ac:dyDescent="0.35">
      <c r="A143" t="s">
        <v>4</v>
      </c>
      <c r="B143" s="20">
        <f>Table_supermarket_sales___Sheet1[[#This Row],[Cost Price]]+Table57[[#This Row],[Markup Cost]]</f>
        <v>135.75</v>
      </c>
      <c r="C143">
        <v>1</v>
      </c>
      <c r="D143" s="21">
        <f>Table4[[#This Row],[Selling Price]]-Table_supermarket_sales___Sheet1[[#This Row],[Cost Price]]</f>
        <v>45.25</v>
      </c>
    </row>
    <row r="144" spans="1:4" x14ac:dyDescent="0.35">
      <c r="A144" t="s">
        <v>2</v>
      </c>
      <c r="B144" s="20">
        <f>Table_supermarket_sales___Sheet1[[#This Row],[Cost Price]]+Table57[[#This Row],[Markup Cost]]</f>
        <v>102.89999999999999</v>
      </c>
      <c r="C144">
        <v>1</v>
      </c>
      <c r="D144" s="21">
        <f>Table4[[#This Row],[Selling Price]]-Table_supermarket_sales___Sheet1[[#This Row],[Cost Price]]</f>
        <v>34.299999999999997</v>
      </c>
    </row>
    <row r="145" spans="1:4" x14ac:dyDescent="0.35">
      <c r="A145" t="s">
        <v>2</v>
      </c>
      <c r="B145" s="20">
        <f>Table_supermarket_sales___Sheet1[[#This Row],[Cost Price]]+Table57[[#This Row],[Markup Cost]]</f>
        <v>31.930499999999999</v>
      </c>
      <c r="C145">
        <v>3</v>
      </c>
      <c r="D145" s="21">
        <f>Table4[[#This Row],[Selling Price]]-Table_supermarket_sales___Sheet1[[#This Row],[Cost Price]]</f>
        <v>1.5204999999999984</v>
      </c>
    </row>
    <row r="146" spans="1:4" x14ac:dyDescent="0.35">
      <c r="A146" t="s">
        <v>3</v>
      </c>
      <c r="B146" s="20">
        <f>Table_supermarket_sales___Sheet1[[#This Row],[Cost Price]]+Table57[[#This Row],[Markup Cost]]</f>
        <v>101.33500000000001</v>
      </c>
      <c r="C146">
        <v>10</v>
      </c>
      <c r="D146" s="21">
        <f>Table4[[#This Row],[Selling Price]]-Table_supermarket_sales___Sheet1[[#This Row],[Cost Price]]</f>
        <v>23.385000000000005</v>
      </c>
    </row>
    <row r="147" spans="1:4" x14ac:dyDescent="0.35">
      <c r="A147" t="s">
        <v>6</v>
      </c>
      <c r="B147" s="20">
        <f>Table_supermarket_sales___Sheet1[[#This Row],[Cost Price]]+Table57[[#This Row],[Markup Cost]]</f>
        <v>60.137999999999998</v>
      </c>
      <c r="C147">
        <v>3</v>
      </c>
      <c r="D147" s="21">
        <f>Table4[[#This Row],[Selling Price]]-Table_supermarket_sales___Sheet1[[#This Row],[Cost Price]]</f>
        <v>13.878</v>
      </c>
    </row>
    <row r="148" spans="1:4" x14ac:dyDescent="0.35">
      <c r="A148" t="s">
        <v>5</v>
      </c>
      <c r="B148" s="20">
        <f>Table_supermarket_sales___Sheet1[[#This Row],[Cost Price]]+Table57[[#This Row],[Markup Cost]]</f>
        <v>45.21</v>
      </c>
      <c r="C148">
        <v>10</v>
      </c>
      <c r="D148" s="21">
        <f>Table4[[#This Row],[Selling Price]]-Table_supermarket_sales___Sheet1[[#This Row],[Cost Price]]</f>
        <v>15.07</v>
      </c>
    </row>
    <row r="149" spans="1:4" x14ac:dyDescent="0.35">
      <c r="A149" t="s">
        <v>1</v>
      </c>
      <c r="B149" s="20">
        <f>Table_supermarket_sales___Sheet1[[#This Row],[Cost Price]]+Table57[[#This Row],[Markup Cost]]</f>
        <v>79.367999999999995</v>
      </c>
      <c r="C149">
        <v>10</v>
      </c>
      <c r="D149" s="21">
        <f>Table4[[#This Row],[Selling Price]]-Table_supermarket_sales___Sheet1[[#This Row],[Cost Price]]</f>
        <v>13.227999999999994</v>
      </c>
    </row>
    <row r="150" spans="1:4" x14ac:dyDescent="0.35">
      <c r="A150" t="s">
        <v>5</v>
      </c>
      <c r="B150" s="20">
        <f>Table_supermarket_sales___Sheet1[[#This Row],[Cost Price]]+Table57[[#This Row],[Markup Cost]]</f>
        <v>100.604</v>
      </c>
      <c r="C150">
        <v>4</v>
      </c>
      <c r="D150" s="21">
        <f>Table4[[#This Row],[Selling Price]]-Table_supermarket_sales___Sheet1[[#This Row],[Cost Price]]</f>
        <v>28.744</v>
      </c>
    </row>
    <row r="151" spans="1:4" x14ac:dyDescent="0.35">
      <c r="A151" t="s">
        <v>5</v>
      </c>
      <c r="B151" s="20">
        <f>Table_supermarket_sales___Sheet1[[#This Row],[Cost Price]]+Table57[[#This Row],[Markup Cost]]</f>
        <v>45.444000000000003</v>
      </c>
      <c r="C151">
        <v>5</v>
      </c>
      <c r="D151" s="21">
        <f>Table4[[#This Row],[Selling Price]]-Table_supermarket_sales___Sheet1[[#This Row],[Cost Price]]</f>
        <v>12.984000000000002</v>
      </c>
    </row>
    <row r="152" spans="1:4" x14ac:dyDescent="0.35">
      <c r="A152" t="s">
        <v>3</v>
      </c>
      <c r="B152" s="20">
        <f>Table_supermarket_sales___Sheet1[[#This Row],[Cost Price]]+Table57[[#This Row],[Markup Cost]]</f>
        <v>109.84800000000001</v>
      </c>
      <c r="C152">
        <v>1</v>
      </c>
      <c r="D152" s="21">
        <f>Table4[[#This Row],[Selling Price]]-Table_supermarket_sales___Sheet1[[#This Row],[Cost Price]]</f>
        <v>18.308000000000007</v>
      </c>
    </row>
    <row r="153" spans="1:4" x14ac:dyDescent="0.35">
      <c r="A153" t="s">
        <v>2</v>
      </c>
      <c r="B153" s="20">
        <f>Table_supermarket_sales___Sheet1[[#This Row],[Cost Price]]+Table57[[#This Row],[Markup Cost]]</f>
        <v>46.656000000000006</v>
      </c>
      <c r="C153">
        <v>1</v>
      </c>
      <c r="D153" s="21">
        <f>Table4[[#This Row],[Selling Price]]-Table_supermarket_sales___Sheet1[[#This Row],[Cost Price]]</f>
        <v>12.096000000000004</v>
      </c>
    </row>
    <row r="154" spans="1:4" x14ac:dyDescent="0.35">
      <c r="A154" t="s">
        <v>6</v>
      </c>
      <c r="B154" s="20">
        <f>Table_supermarket_sales___Sheet1[[#This Row],[Cost Price]]+Table57[[#This Row],[Markup Cost]]</f>
        <v>120.69799999999999</v>
      </c>
      <c r="C154">
        <v>3</v>
      </c>
      <c r="D154" s="21">
        <f>Table4[[#This Row],[Selling Price]]-Table_supermarket_sales___Sheet1[[#This Row],[Cost Price]]</f>
        <v>37.457999999999998</v>
      </c>
    </row>
    <row r="155" spans="1:4" x14ac:dyDescent="0.35">
      <c r="A155" t="s">
        <v>3</v>
      </c>
      <c r="B155" s="20">
        <f>Table_supermarket_sales___Sheet1[[#This Row],[Cost Price]]+Table57[[#This Row],[Markup Cost]]</f>
        <v>21.423999999999999</v>
      </c>
      <c r="C155">
        <v>6</v>
      </c>
      <c r="D155" s="21">
        <f>Table4[[#This Row],[Selling Price]]-Table_supermarket_sales___Sheet1[[#This Row],[Cost Price]]</f>
        <v>4.9439999999999991</v>
      </c>
    </row>
    <row r="156" spans="1:4" x14ac:dyDescent="0.35">
      <c r="A156" t="s">
        <v>6</v>
      </c>
      <c r="B156" s="20">
        <f>Table_supermarket_sales___Sheet1[[#This Row],[Cost Price]]+Table57[[#This Row],[Markup Cost]]</f>
        <v>113.358</v>
      </c>
      <c r="C156">
        <v>2</v>
      </c>
      <c r="D156" s="21">
        <f>Table4[[#This Row],[Selling Price]]-Table_supermarket_sales___Sheet1[[#This Row],[Cost Price]]</f>
        <v>32.388000000000005</v>
      </c>
    </row>
    <row r="157" spans="1:4" x14ac:dyDescent="0.35">
      <c r="A157" t="s">
        <v>3</v>
      </c>
      <c r="B157" s="20">
        <f>Table_supermarket_sales___Sheet1[[#This Row],[Cost Price]]+Table57[[#This Row],[Markup Cost]]</f>
        <v>115.36250000000001</v>
      </c>
      <c r="C157">
        <v>3</v>
      </c>
      <c r="D157" s="21">
        <f>Table4[[#This Row],[Selling Price]]-Table_supermarket_sales___Sheet1[[#This Row],[Cost Price]]</f>
        <v>23.072500000000005</v>
      </c>
    </row>
    <row r="158" spans="1:4" x14ac:dyDescent="0.35">
      <c r="A158" t="s">
        <v>2</v>
      </c>
      <c r="B158" s="20">
        <f>Table_supermarket_sales___Sheet1[[#This Row],[Cost Price]]+Table57[[#This Row],[Markup Cost]]</f>
        <v>75.778500000000008</v>
      </c>
      <c r="C158">
        <v>3</v>
      </c>
      <c r="D158" s="21">
        <f>Table4[[#This Row],[Selling Price]]-Table_supermarket_sales___Sheet1[[#This Row],[Cost Price]]</f>
        <v>3.6085000000000065</v>
      </c>
    </row>
    <row r="159" spans="1:4" x14ac:dyDescent="0.35">
      <c r="A159" t="s">
        <v>6</v>
      </c>
      <c r="B159" s="20">
        <f>Table_supermarket_sales___Sheet1[[#This Row],[Cost Price]]+Table57[[#This Row],[Markup Cost]]</f>
        <v>62.85</v>
      </c>
      <c r="C159">
        <v>6</v>
      </c>
      <c r="D159" s="21">
        <f>Table4[[#This Row],[Selling Price]]-Table_supermarket_sales___Sheet1[[#This Row],[Cost Price]]</f>
        <v>12.57</v>
      </c>
    </row>
    <row r="160" spans="1:4" x14ac:dyDescent="0.35">
      <c r="A160" t="s">
        <v>6</v>
      </c>
      <c r="B160" s="20">
        <f>Table_supermarket_sales___Sheet1[[#This Row],[Cost Price]]+Table57[[#This Row],[Markup Cost]]</f>
        <v>140.96899999999999</v>
      </c>
      <c r="C160">
        <v>8</v>
      </c>
      <c r="D160" s="21">
        <f>Table4[[#This Row],[Selling Price]]-Table_supermarket_sales___Sheet1[[#This Row],[Cost Price]]</f>
        <v>43.748999999999995</v>
      </c>
    </row>
    <row r="161" spans="1:4" x14ac:dyDescent="0.35">
      <c r="A161" t="s">
        <v>6</v>
      </c>
      <c r="B161" s="20">
        <f>Table_supermarket_sales___Sheet1[[#This Row],[Cost Price]]+Table57[[#This Row],[Markup Cost]]</f>
        <v>121.407</v>
      </c>
      <c r="C161">
        <v>4</v>
      </c>
      <c r="D161" s="21">
        <f>Table4[[#This Row],[Selling Price]]-Table_supermarket_sales___Sheet1[[#This Row],[Cost Price]]</f>
        <v>28.016999999999996</v>
      </c>
    </row>
    <row r="162" spans="1:4" x14ac:dyDescent="0.35">
      <c r="A162" t="s">
        <v>4</v>
      </c>
      <c r="B162" s="20">
        <f>Table_supermarket_sales___Sheet1[[#This Row],[Cost Price]]+Table57[[#This Row],[Markup Cost]]</f>
        <v>60.451999999999998</v>
      </c>
      <c r="C162">
        <v>4</v>
      </c>
      <c r="D162" s="21">
        <f>Table4[[#This Row],[Selling Price]]-Table_supermarket_sales___Sheet1[[#This Row],[Cost Price]]</f>
        <v>17.271999999999998</v>
      </c>
    </row>
    <row r="163" spans="1:4" x14ac:dyDescent="0.35">
      <c r="A163" t="s">
        <v>3</v>
      </c>
      <c r="B163" s="20">
        <f>Table_supermarket_sales___Sheet1[[#This Row],[Cost Price]]+Table57[[#This Row],[Markup Cost]]</f>
        <v>66.874499999999998</v>
      </c>
      <c r="C163">
        <v>4</v>
      </c>
      <c r="D163" s="21">
        <f>Table4[[#This Row],[Selling Price]]-Table_supermarket_sales___Sheet1[[#This Row],[Cost Price]]</f>
        <v>3.1844999999999999</v>
      </c>
    </row>
    <row r="164" spans="1:4" x14ac:dyDescent="0.35">
      <c r="A164" t="s">
        <v>4</v>
      </c>
      <c r="B164" s="20">
        <f>Table_supermarket_sales___Sheet1[[#This Row],[Cost Price]]+Table57[[#This Row],[Markup Cost]]</f>
        <v>61.816499999999998</v>
      </c>
      <c r="C164">
        <v>6</v>
      </c>
      <c r="D164" s="21">
        <f>Table4[[#This Row],[Selling Price]]-Table_supermarket_sales___Sheet1[[#This Row],[Cost Price]]</f>
        <v>16.026499999999999</v>
      </c>
    </row>
    <row r="165" spans="1:4" x14ac:dyDescent="0.35">
      <c r="A165" t="s">
        <v>2</v>
      </c>
      <c r="B165" s="20">
        <f>Table_supermarket_sales___Sheet1[[#This Row],[Cost Price]]+Table57[[#This Row],[Markup Cost]]</f>
        <v>84.04</v>
      </c>
      <c r="C165">
        <v>8</v>
      </c>
      <c r="D165" s="21">
        <f>Table4[[#This Row],[Selling Price]]-Table_supermarket_sales___Sheet1[[#This Row],[Cost Price]]</f>
        <v>7.6400000000000006</v>
      </c>
    </row>
    <row r="166" spans="1:4" x14ac:dyDescent="0.35">
      <c r="A166" t="s">
        <v>5</v>
      </c>
      <c r="B166" s="20">
        <f>Table_supermarket_sales___Sheet1[[#This Row],[Cost Price]]+Table57[[#This Row],[Markup Cost]]</f>
        <v>59.849999999999994</v>
      </c>
      <c r="C166">
        <v>5</v>
      </c>
      <c r="D166" s="21">
        <f>Table4[[#This Row],[Selling Price]]-Table_supermarket_sales___Sheet1[[#This Row],[Cost Price]]</f>
        <v>19.949999999999996</v>
      </c>
    </row>
    <row r="167" spans="1:4" x14ac:dyDescent="0.35">
      <c r="A167" t="s">
        <v>1</v>
      </c>
      <c r="B167" s="20">
        <f>Table_supermarket_sales___Sheet1[[#This Row],[Cost Price]]+Table57[[#This Row],[Markup Cost]]</f>
        <v>59.597999999999999</v>
      </c>
      <c r="C167">
        <v>10</v>
      </c>
      <c r="D167" s="21">
        <f>Table4[[#This Row],[Selling Price]]-Table_supermarket_sales___Sheet1[[#This Row],[Cost Price]]</f>
        <v>17.027999999999999</v>
      </c>
    </row>
    <row r="168" spans="1:4" x14ac:dyDescent="0.35">
      <c r="A168" t="s">
        <v>1</v>
      </c>
      <c r="B168" s="20">
        <f>Table_supermarket_sales___Sheet1[[#This Row],[Cost Price]]+Table57[[#This Row],[Markup Cost]]</f>
        <v>143.37</v>
      </c>
      <c r="C168">
        <v>5</v>
      </c>
      <c r="D168" s="21">
        <f>Table4[[#This Row],[Selling Price]]-Table_supermarket_sales___Sheet1[[#This Row],[Cost Price]]</f>
        <v>47.790000000000006</v>
      </c>
    </row>
    <row r="169" spans="1:4" x14ac:dyDescent="0.35">
      <c r="A169" t="s">
        <v>5</v>
      </c>
      <c r="B169" s="20">
        <f>Table_supermarket_sales___Sheet1[[#This Row],[Cost Price]]+Table57[[#This Row],[Markup Cost]]</f>
        <v>148.47</v>
      </c>
      <c r="C169">
        <v>7</v>
      </c>
      <c r="D169" s="21">
        <f>Table4[[#This Row],[Selling Price]]-Table_supermarket_sales___Sheet1[[#This Row],[Cost Price]]</f>
        <v>49.489999999999995</v>
      </c>
    </row>
    <row r="170" spans="1:4" x14ac:dyDescent="0.35">
      <c r="A170" t="s">
        <v>1</v>
      </c>
      <c r="B170" s="20">
        <f>Table_supermarket_sales___Sheet1[[#This Row],[Cost Price]]+Table57[[#This Row],[Markup Cost]]</f>
        <v>66.664000000000001</v>
      </c>
      <c r="C170">
        <v>3</v>
      </c>
      <c r="D170" s="21">
        <f>Table4[[#This Row],[Selling Price]]-Table_supermarket_sales___Sheet1[[#This Row],[Cost Price]]</f>
        <v>15.384</v>
      </c>
    </row>
    <row r="171" spans="1:4" x14ac:dyDescent="0.35">
      <c r="A171" t="s">
        <v>2</v>
      </c>
      <c r="B171" s="20">
        <f>Table_supermarket_sales___Sheet1[[#This Row],[Cost Price]]+Table57[[#This Row],[Markup Cost]]</f>
        <v>93.852000000000004</v>
      </c>
      <c r="C171">
        <v>1</v>
      </c>
      <c r="D171" s="21">
        <f>Table4[[#This Row],[Selling Price]]-Table_supermarket_sales___Sheet1[[#This Row],[Cost Price]]</f>
        <v>24.332000000000008</v>
      </c>
    </row>
    <row r="172" spans="1:4" x14ac:dyDescent="0.35">
      <c r="A172" t="s">
        <v>1</v>
      </c>
      <c r="B172" s="20">
        <f>Table_supermarket_sales___Sheet1[[#This Row],[Cost Price]]+Table57[[#This Row],[Markup Cost]]</f>
        <v>87.512500000000003</v>
      </c>
      <c r="C172">
        <v>3</v>
      </c>
      <c r="D172" s="21">
        <f>Table4[[#This Row],[Selling Price]]-Table_supermarket_sales___Sheet1[[#This Row],[Cost Price]]</f>
        <v>17.502499999999998</v>
      </c>
    </row>
    <row r="173" spans="1:4" x14ac:dyDescent="0.35">
      <c r="A173" t="s">
        <v>2</v>
      </c>
      <c r="B173" s="20">
        <f>Table_supermarket_sales___Sheet1[[#This Row],[Cost Price]]+Table57[[#This Row],[Markup Cost]]</f>
        <v>100.0625</v>
      </c>
      <c r="C173">
        <v>9</v>
      </c>
      <c r="D173" s="21">
        <f>Table4[[#This Row],[Selling Price]]-Table_supermarket_sales___Sheet1[[#This Row],[Cost Price]]</f>
        <v>20.012500000000003</v>
      </c>
    </row>
    <row r="174" spans="1:4" x14ac:dyDescent="0.35">
      <c r="A174" t="s">
        <v>6</v>
      </c>
      <c r="B174" s="20">
        <f>Table_supermarket_sales___Sheet1[[#This Row],[Cost Price]]+Table57[[#This Row],[Markup Cost]]</f>
        <v>29.19</v>
      </c>
      <c r="C174">
        <v>5</v>
      </c>
      <c r="D174" s="21">
        <f>Table4[[#This Row],[Selling Price]]-Table_supermarket_sales___Sheet1[[#This Row],[Cost Price]]</f>
        <v>8.34</v>
      </c>
    </row>
    <row r="175" spans="1:4" x14ac:dyDescent="0.35">
      <c r="A175" t="s">
        <v>6</v>
      </c>
      <c r="B175" s="20">
        <f>Table_supermarket_sales___Sheet1[[#This Row],[Cost Price]]+Table57[[#This Row],[Markup Cost]]</f>
        <v>68.757000000000005</v>
      </c>
      <c r="C175">
        <v>10</v>
      </c>
      <c r="D175" s="21">
        <f>Table4[[#This Row],[Selling Price]]-Table_supermarket_sales___Sheet1[[#This Row],[Cost Price]]</f>
        <v>15.867000000000004</v>
      </c>
    </row>
    <row r="176" spans="1:4" x14ac:dyDescent="0.35">
      <c r="A176" t="s">
        <v>4</v>
      </c>
      <c r="B176" s="20">
        <f>Table_supermarket_sales___Sheet1[[#This Row],[Cost Price]]+Table57[[#This Row],[Markup Cost]]</f>
        <v>27.706</v>
      </c>
      <c r="C176">
        <v>9</v>
      </c>
      <c r="D176" s="21">
        <f>Table4[[#This Row],[Selling Price]]-Table_supermarket_sales___Sheet1[[#This Row],[Cost Price]]</f>
        <v>7.9160000000000004</v>
      </c>
    </row>
    <row r="177" spans="1:4" x14ac:dyDescent="0.35">
      <c r="A177" t="s">
        <v>2</v>
      </c>
      <c r="B177" s="20">
        <f>Table_supermarket_sales___Sheet1[[#This Row],[Cost Price]]+Table57[[#This Row],[Markup Cost]]</f>
        <v>49.068000000000005</v>
      </c>
      <c r="C177">
        <v>5</v>
      </c>
      <c r="D177" s="21">
        <f>Table4[[#This Row],[Selling Price]]-Table_supermarket_sales___Sheet1[[#This Row],[Cost Price]]</f>
        <v>15.228000000000002</v>
      </c>
    </row>
    <row r="178" spans="1:4" x14ac:dyDescent="0.35">
      <c r="A178" t="s">
        <v>3</v>
      </c>
      <c r="B178" s="20">
        <f>Table_supermarket_sales___Sheet1[[#This Row],[Cost Price]]+Table57[[#This Row],[Markup Cost]]</f>
        <v>31.038000000000004</v>
      </c>
      <c r="C178">
        <v>6</v>
      </c>
      <c r="D178" s="21">
        <f>Table4[[#This Row],[Selling Price]]-Table_supermarket_sales___Sheet1[[#This Row],[Cost Price]]</f>
        <v>8.8680000000000021</v>
      </c>
    </row>
    <row r="179" spans="1:4" x14ac:dyDescent="0.35">
      <c r="A179" t="s">
        <v>6</v>
      </c>
      <c r="B179" s="20">
        <f>Table_supermarket_sales___Sheet1[[#This Row],[Cost Price]]+Table57[[#This Row],[Markup Cost]]</f>
        <v>30.388500000000001</v>
      </c>
      <c r="C179">
        <v>1</v>
      </c>
      <c r="D179" s="21">
        <f>Table4[[#This Row],[Selling Price]]-Table_supermarket_sales___Sheet1[[#This Row],[Cost Price]]</f>
        <v>7.8784999999999989</v>
      </c>
    </row>
    <row r="180" spans="1:4" x14ac:dyDescent="0.35">
      <c r="A180" t="s">
        <v>6</v>
      </c>
      <c r="B180" s="20">
        <f>Table_supermarket_sales___Sheet1[[#This Row],[Cost Price]]+Table57[[#This Row],[Markup Cost]]</f>
        <v>96.043999999999997</v>
      </c>
      <c r="C180">
        <v>3</v>
      </c>
      <c r="D180" s="21">
        <f>Table4[[#This Row],[Selling Price]]-Table_supermarket_sales___Sheet1[[#This Row],[Cost Price]]</f>
        <v>22.164000000000001</v>
      </c>
    </row>
    <row r="181" spans="1:4" x14ac:dyDescent="0.35">
      <c r="A181" t="s">
        <v>4</v>
      </c>
      <c r="B181" s="20">
        <f>Table_supermarket_sales___Sheet1[[#This Row],[Cost Price]]+Table57[[#This Row],[Markup Cost]]</f>
        <v>99.82</v>
      </c>
      <c r="C181">
        <v>10</v>
      </c>
      <c r="D181" s="21">
        <f>Table4[[#This Row],[Selling Price]]-Table_supermarket_sales___Sheet1[[#This Row],[Cost Price]]</f>
        <v>13.019999999999996</v>
      </c>
    </row>
    <row r="182" spans="1:4" x14ac:dyDescent="0.35">
      <c r="A182" t="s">
        <v>5</v>
      </c>
      <c r="B182" s="20">
        <f>Table_supermarket_sales___Sheet1[[#This Row],[Cost Price]]+Table57[[#This Row],[Markup Cost]]</f>
        <v>86.751000000000005</v>
      </c>
      <c r="C182">
        <v>6</v>
      </c>
      <c r="D182" s="21">
        <f>Table4[[#This Row],[Selling Price]]-Table_supermarket_sales___Sheet1[[#This Row],[Cost Price]]</f>
        <v>22.491</v>
      </c>
    </row>
    <row r="183" spans="1:4" x14ac:dyDescent="0.35">
      <c r="A183" t="s">
        <v>6</v>
      </c>
      <c r="B183" s="20">
        <f>Table_supermarket_sales___Sheet1[[#This Row],[Cost Price]]+Table57[[#This Row],[Markup Cost]]</f>
        <v>53.857999999999997</v>
      </c>
      <c r="C183">
        <v>7</v>
      </c>
      <c r="D183" s="21">
        <f>Table4[[#This Row],[Selling Price]]-Table_supermarket_sales___Sheet1[[#This Row],[Cost Price]]</f>
        <v>15.387999999999998</v>
      </c>
    </row>
    <row r="184" spans="1:4" x14ac:dyDescent="0.35">
      <c r="A184" t="s">
        <v>6</v>
      </c>
      <c r="B184" s="20">
        <f>Table_supermarket_sales___Sheet1[[#This Row],[Cost Price]]+Table57[[#This Row],[Markup Cost]]</f>
        <v>23.25</v>
      </c>
      <c r="C184">
        <v>3</v>
      </c>
      <c r="D184" s="21">
        <f>Table4[[#This Row],[Selling Price]]-Table_supermarket_sales___Sheet1[[#This Row],[Cost Price]]</f>
        <v>7.75</v>
      </c>
    </row>
    <row r="185" spans="1:4" x14ac:dyDescent="0.35">
      <c r="A185" t="s">
        <v>5</v>
      </c>
      <c r="B185" s="20">
        <f>Table_supermarket_sales___Sheet1[[#This Row],[Cost Price]]+Table57[[#This Row],[Markup Cost]]</f>
        <v>48.034000000000006</v>
      </c>
      <c r="C185">
        <v>2</v>
      </c>
      <c r="D185" s="21">
        <f>Table4[[#This Row],[Selling Price]]-Table_supermarket_sales___Sheet1[[#This Row],[Cost Price]]</f>
        <v>13.724000000000004</v>
      </c>
    </row>
    <row r="186" spans="1:4" x14ac:dyDescent="0.35">
      <c r="A186" t="s">
        <v>3</v>
      </c>
      <c r="B186" s="20">
        <f>Table_supermarket_sales___Sheet1[[#This Row],[Cost Price]]+Table57[[#This Row],[Markup Cost]]</f>
        <v>16.658999999999999</v>
      </c>
      <c r="C186">
        <v>10</v>
      </c>
      <c r="D186" s="21">
        <f>Table4[[#This Row],[Selling Price]]-Table_supermarket_sales___Sheet1[[#This Row],[Cost Price]]</f>
        <v>4.3189999999999991</v>
      </c>
    </row>
    <row r="187" spans="1:4" x14ac:dyDescent="0.35">
      <c r="A187" t="s">
        <v>2</v>
      </c>
      <c r="B187" s="20">
        <f>Table_supermarket_sales___Sheet1[[#This Row],[Cost Price]]+Table57[[#This Row],[Markup Cost]]</f>
        <v>20.791999999999998</v>
      </c>
      <c r="C187">
        <v>9</v>
      </c>
      <c r="D187" s="21">
        <f>Table4[[#This Row],[Selling Price]]-Table_supermarket_sales___Sheet1[[#This Row],[Cost Price]]</f>
        <v>2.7119999999999997</v>
      </c>
    </row>
    <row r="188" spans="1:4" x14ac:dyDescent="0.35">
      <c r="A188" t="s">
        <v>6</v>
      </c>
      <c r="B188" s="20">
        <f>Table_supermarket_sales___Sheet1[[#This Row],[Cost Price]]+Table57[[#This Row],[Markup Cost]]</f>
        <v>132.286</v>
      </c>
      <c r="C188">
        <v>10</v>
      </c>
      <c r="D188" s="21">
        <f>Table4[[#This Row],[Selling Price]]-Table_supermarket_sales___Sheet1[[#This Row],[Cost Price]]</f>
        <v>37.796000000000006</v>
      </c>
    </row>
    <row r="189" spans="1:4" x14ac:dyDescent="0.35">
      <c r="A189" t="s">
        <v>2</v>
      </c>
      <c r="B189" s="20">
        <f>Table_supermarket_sales___Sheet1[[#This Row],[Cost Price]]+Table57[[#This Row],[Markup Cost]]</f>
        <v>55.763999999999996</v>
      </c>
      <c r="C189">
        <v>3</v>
      </c>
      <c r="D189" s="21">
        <f>Table4[[#This Row],[Selling Price]]-Table_supermarket_sales___Sheet1[[#This Row],[Cost Price]]</f>
        <v>9.2939999999999969</v>
      </c>
    </row>
    <row r="190" spans="1:4" x14ac:dyDescent="0.35">
      <c r="A190" t="s">
        <v>1</v>
      </c>
      <c r="B190" s="20">
        <f>Table_supermarket_sales___Sheet1[[#This Row],[Cost Price]]+Table57[[#This Row],[Markup Cost]]</f>
        <v>77.773499999999999</v>
      </c>
      <c r="C190">
        <v>4</v>
      </c>
      <c r="D190" s="21">
        <f>Table4[[#This Row],[Selling Price]]-Table_supermarket_sales___Sheet1[[#This Row],[Cost Price]]</f>
        <v>3.7035000000000053</v>
      </c>
    </row>
    <row r="191" spans="1:4" x14ac:dyDescent="0.35">
      <c r="A191" t="s">
        <v>1</v>
      </c>
      <c r="B191" s="20">
        <f>Table_supermarket_sales___Sheet1[[#This Row],[Cost Price]]+Table57[[#This Row],[Markup Cost]]</f>
        <v>83.772000000000006</v>
      </c>
      <c r="C191">
        <v>9</v>
      </c>
      <c r="D191" s="21">
        <f>Table4[[#This Row],[Selling Price]]-Table_supermarket_sales___Sheet1[[#This Row],[Cost Price]]</f>
        <v>13.962000000000003</v>
      </c>
    </row>
    <row r="192" spans="1:4" x14ac:dyDescent="0.35">
      <c r="A192" t="s">
        <v>5</v>
      </c>
      <c r="B192" s="20">
        <f>Table_supermarket_sales___Sheet1[[#This Row],[Cost Price]]+Table57[[#This Row],[Markup Cost]]</f>
        <v>88.596000000000004</v>
      </c>
      <c r="C192">
        <v>4</v>
      </c>
      <c r="D192" s="21">
        <f>Table4[[#This Row],[Selling Price]]-Table_supermarket_sales___Sheet1[[#This Row],[Cost Price]]</f>
        <v>11.555999999999997</v>
      </c>
    </row>
    <row r="193" spans="1:4" x14ac:dyDescent="0.35">
      <c r="A193" t="s">
        <v>3</v>
      </c>
      <c r="B193" s="20">
        <f>Table_supermarket_sales___Sheet1[[#This Row],[Cost Price]]+Table57[[#This Row],[Markup Cost]]</f>
        <v>80.872</v>
      </c>
      <c r="C193">
        <v>10</v>
      </c>
      <c r="D193" s="21">
        <f>Table4[[#This Row],[Selling Price]]-Table_supermarket_sales___Sheet1[[#This Row],[Cost Price]]</f>
        <v>7.3520000000000039</v>
      </c>
    </row>
    <row r="194" spans="1:4" x14ac:dyDescent="0.35">
      <c r="A194" t="s">
        <v>5</v>
      </c>
      <c r="B194" s="20">
        <f>Table_supermarket_sales___Sheet1[[#This Row],[Cost Price]]+Table57[[#This Row],[Markup Cost]]</f>
        <v>127.31</v>
      </c>
      <c r="C194">
        <v>1</v>
      </c>
      <c r="D194" s="21">
        <f>Table4[[#This Row],[Selling Price]]-Table_supermarket_sales___Sheet1[[#This Row],[Cost Price]]</f>
        <v>39.510000000000005</v>
      </c>
    </row>
    <row r="195" spans="1:4" x14ac:dyDescent="0.35">
      <c r="A195" t="s">
        <v>3</v>
      </c>
      <c r="B195" s="20">
        <f>Table_supermarket_sales___Sheet1[[#This Row],[Cost Price]]+Table57[[#This Row],[Markup Cost]]</f>
        <v>30.66</v>
      </c>
      <c r="C195">
        <v>4</v>
      </c>
      <c r="D195" s="21">
        <f>Table4[[#This Row],[Selling Price]]-Table_supermarket_sales___Sheet1[[#This Row],[Cost Price]]</f>
        <v>5.1099999999999994</v>
      </c>
    </row>
    <row r="196" spans="1:4" x14ac:dyDescent="0.35">
      <c r="A196" t="s">
        <v>6</v>
      </c>
      <c r="B196" s="20">
        <f>Table_supermarket_sales___Sheet1[[#This Row],[Cost Price]]+Table57[[#This Row],[Markup Cost]]</f>
        <v>40.887500000000003</v>
      </c>
      <c r="C196">
        <v>9</v>
      </c>
      <c r="D196" s="21">
        <f>Table4[[#This Row],[Selling Price]]-Table_supermarket_sales___Sheet1[[#This Row],[Cost Price]]</f>
        <v>8.177500000000002</v>
      </c>
    </row>
    <row r="197" spans="1:4" x14ac:dyDescent="0.35">
      <c r="A197" t="s">
        <v>2</v>
      </c>
      <c r="B197" s="20">
        <f>Table_supermarket_sales___Sheet1[[#This Row],[Cost Price]]+Table57[[#This Row],[Markup Cost]]</f>
        <v>78.004500000000007</v>
      </c>
      <c r="C197">
        <v>7</v>
      </c>
      <c r="D197" s="21">
        <f>Table4[[#This Row],[Selling Price]]-Table_supermarket_sales___Sheet1[[#This Row],[Cost Price]]</f>
        <v>3.714500000000001</v>
      </c>
    </row>
    <row r="198" spans="1:4" x14ac:dyDescent="0.35">
      <c r="A198" t="s">
        <v>5</v>
      </c>
      <c r="B198" s="20">
        <f>Table_supermarket_sales___Sheet1[[#This Row],[Cost Price]]+Table57[[#This Row],[Markup Cost]]</f>
        <v>48.07</v>
      </c>
      <c r="C198">
        <v>2</v>
      </c>
      <c r="D198" s="21">
        <f>Table4[[#This Row],[Selling Price]]-Table_supermarket_sales___Sheet1[[#This Row],[Cost Price]]</f>
        <v>4.3699999999999974</v>
      </c>
    </row>
    <row r="199" spans="1:4" x14ac:dyDescent="0.35">
      <c r="A199" t="s">
        <v>3</v>
      </c>
      <c r="B199" s="20">
        <f>Table_supermarket_sales___Sheet1[[#This Row],[Cost Price]]+Table57[[#This Row],[Markup Cost]]</f>
        <v>26.554499999999997</v>
      </c>
      <c r="C199">
        <v>9</v>
      </c>
      <c r="D199" s="21">
        <f>Table4[[#This Row],[Selling Price]]-Table_supermarket_sales___Sheet1[[#This Row],[Cost Price]]</f>
        <v>1.2644999999999982</v>
      </c>
    </row>
    <row r="200" spans="1:4" x14ac:dyDescent="0.35">
      <c r="A200" t="s">
        <v>4</v>
      </c>
      <c r="B200" s="20">
        <f>Table_supermarket_sales___Sheet1[[#This Row],[Cost Price]]+Table57[[#This Row],[Markup Cost]]</f>
        <v>49.8</v>
      </c>
      <c r="C200">
        <v>10</v>
      </c>
      <c r="D200" s="21">
        <f>Table4[[#This Row],[Selling Price]]-Table_supermarket_sales___Sheet1[[#This Row],[Cost Price]]</f>
        <v>8.2999999999999972</v>
      </c>
    </row>
    <row r="201" spans="1:4" x14ac:dyDescent="0.35">
      <c r="A201" t="s">
        <v>1</v>
      </c>
      <c r="B201" s="20">
        <f>Table_supermarket_sales___Sheet1[[#This Row],[Cost Price]]+Table57[[#This Row],[Markup Cost]]</f>
        <v>89.237499999999997</v>
      </c>
      <c r="C201">
        <v>1</v>
      </c>
      <c r="D201" s="21">
        <f>Table4[[#This Row],[Selling Price]]-Table_supermarket_sales___Sheet1[[#This Row],[Cost Price]]</f>
        <v>17.847499999999997</v>
      </c>
    </row>
    <row r="202" spans="1:4" x14ac:dyDescent="0.35">
      <c r="A202" t="s">
        <v>6</v>
      </c>
      <c r="B202" s="20">
        <f>Table_supermarket_sales___Sheet1[[#This Row],[Cost Price]]+Table57[[#This Row],[Markup Cost]]</f>
        <v>24.895</v>
      </c>
      <c r="C202">
        <v>1</v>
      </c>
      <c r="D202" s="21">
        <f>Table4[[#This Row],[Selling Price]]-Table_supermarket_sales___Sheet1[[#This Row],[Cost Price]]</f>
        <v>5.745000000000001</v>
      </c>
    </row>
    <row r="203" spans="1:4" x14ac:dyDescent="0.35">
      <c r="A203" t="s">
        <v>6</v>
      </c>
      <c r="B203" s="20">
        <f>Table_supermarket_sales___Sheet1[[#This Row],[Cost Price]]+Table57[[#This Row],[Markup Cost]]</f>
        <v>68.988</v>
      </c>
      <c r="C203">
        <v>4</v>
      </c>
      <c r="D203" s="21">
        <f>Table4[[#This Row],[Selling Price]]-Table_supermarket_sales___Sheet1[[#This Row],[Cost Price]]</f>
        <v>11.497999999999998</v>
      </c>
    </row>
    <row r="204" spans="1:4" x14ac:dyDescent="0.35">
      <c r="A204" t="s">
        <v>3</v>
      </c>
      <c r="B204" s="20">
        <f>Table_supermarket_sales___Sheet1[[#This Row],[Cost Price]]+Table57[[#This Row],[Markup Cost]]</f>
        <v>82.903499999999994</v>
      </c>
      <c r="C204">
        <v>7</v>
      </c>
      <c r="D204" s="21">
        <f>Table4[[#This Row],[Selling Price]]-Table_supermarket_sales___Sheet1[[#This Row],[Cost Price]]</f>
        <v>21.493499999999997</v>
      </c>
    </row>
    <row r="205" spans="1:4" x14ac:dyDescent="0.35">
      <c r="A205" t="s">
        <v>2</v>
      </c>
      <c r="B205" s="20">
        <f>Table_supermarket_sales___Sheet1[[#This Row],[Cost Price]]+Table57[[#This Row],[Markup Cost]]</f>
        <v>38.849999999999994</v>
      </c>
      <c r="C205">
        <v>4</v>
      </c>
      <c r="D205" s="21">
        <f>Table4[[#This Row],[Selling Price]]-Table_supermarket_sales___Sheet1[[#This Row],[Cost Price]]</f>
        <v>12.949999999999996</v>
      </c>
    </row>
    <row r="206" spans="1:4" x14ac:dyDescent="0.35">
      <c r="A206" t="s">
        <v>5</v>
      </c>
      <c r="B206" s="20">
        <f>Table_supermarket_sales___Sheet1[[#This Row],[Cost Price]]+Table57[[#This Row],[Markup Cost]]</f>
        <v>22.212499999999999</v>
      </c>
      <c r="C206">
        <v>4</v>
      </c>
      <c r="D206" s="21">
        <f>Table4[[#This Row],[Selling Price]]-Table_supermarket_sales___Sheet1[[#This Row],[Cost Price]]</f>
        <v>4.442499999999999</v>
      </c>
    </row>
    <row r="207" spans="1:4" x14ac:dyDescent="0.35">
      <c r="A207" t="s">
        <v>3</v>
      </c>
      <c r="B207" s="20">
        <f>Table_supermarket_sales___Sheet1[[#This Row],[Cost Price]]+Table57[[#This Row],[Markup Cost]]</f>
        <v>33.393500000000003</v>
      </c>
      <c r="C207">
        <v>8</v>
      </c>
      <c r="D207" s="21">
        <f>Table4[[#This Row],[Selling Price]]-Table_supermarket_sales___Sheet1[[#This Row],[Cost Price]]</f>
        <v>10.363500000000002</v>
      </c>
    </row>
    <row r="208" spans="1:4" x14ac:dyDescent="0.35">
      <c r="A208" t="s">
        <v>2</v>
      </c>
      <c r="B208" s="20">
        <f>Table_supermarket_sales___Sheet1[[#This Row],[Cost Price]]+Table57[[#This Row],[Markup Cost]]</f>
        <v>96.642500000000013</v>
      </c>
      <c r="C208">
        <v>6</v>
      </c>
      <c r="D208" s="21">
        <f>Table4[[#This Row],[Selling Price]]-Table_supermarket_sales___Sheet1[[#This Row],[Cost Price]]</f>
        <v>29.992500000000007</v>
      </c>
    </row>
    <row r="209" spans="1:4" x14ac:dyDescent="0.35">
      <c r="A209" t="s">
        <v>6</v>
      </c>
      <c r="B209" s="20">
        <f>Table_supermarket_sales___Sheet1[[#This Row],[Cost Price]]+Table57[[#This Row],[Markup Cost]]</f>
        <v>42.795000000000002</v>
      </c>
      <c r="C209">
        <v>2</v>
      </c>
      <c r="D209" s="21">
        <f>Table4[[#This Row],[Selling Price]]-Table_supermarket_sales___Sheet1[[#This Row],[Cost Price]]</f>
        <v>14.265000000000001</v>
      </c>
    </row>
    <row r="210" spans="1:4" x14ac:dyDescent="0.35">
      <c r="A210" t="s">
        <v>5</v>
      </c>
      <c r="B210" s="20">
        <f>Table_supermarket_sales___Sheet1[[#This Row],[Cost Price]]+Table57[[#This Row],[Markup Cost]]</f>
        <v>34.9255</v>
      </c>
      <c r="C210">
        <v>10</v>
      </c>
      <c r="D210" s="21">
        <f>Table4[[#This Row],[Selling Price]]-Table_supermarket_sales___Sheet1[[#This Row],[Cost Price]]</f>
        <v>4.5554999999999986</v>
      </c>
    </row>
    <row r="211" spans="1:4" x14ac:dyDescent="0.35">
      <c r="A211" t="s">
        <v>2</v>
      </c>
      <c r="B211" s="20">
        <f>Table_supermarket_sales___Sheet1[[#This Row],[Cost Price]]+Table57[[#This Row],[Markup Cost]]</f>
        <v>144.60849999999999</v>
      </c>
      <c r="C211">
        <v>7</v>
      </c>
      <c r="D211" s="21">
        <f>Table4[[#This Row],[Selling Price]]-Table_supermarket_sales___Sheet1[[#This Row],[Cost Price]]</f>
        <v>44.878499999999988</v>
      </c>
    </row>
    <row r="212" spans="1:4" x14ac:dyDescent="0.35">
      <c r="A212" t="s">
        <v>6</v>
      </c>
      <c r="B212" s="20">
        <f>Table_supermarket_sales___Sheet1[[#This Row],[Cost Price]]+Table57[[#This Row],[Markup Cost]]</f>
        <v>38.033500000000004</v>
      </c>
      <c r="C212">
        <v>7</v>
      </c>
      <c r="D212" s="21">
        <f>Table4[[#This Row],[Selling Price]]-Table_supermarket_sales___Sheet1[[#This Row],[Cost Price]]</f>
        <v>11.803500000000003</v>
      </c>
    </row>
    <row r="213" spans="1:4" x14ac:dyDescent="0.35">
      <c r="A213" t="s">
        <v>3</v>
      </c>
      <c r="B213" s="20">
        <f>Table_supermarket_sales___Sheet1[[#This Row],[Cost Price]]+Table57[[#This Row],[Markup Cost]]</f>
        <v>135.227</v>
      </c>
      <c r="C213">
        <v>10</v>
      </c>
      <c r="D213" s="21">
        <f>Table4[[#This Row],[Selling Price]]-Table_supermarket_sales___Sheet1[[#This Row],[Cost Price]]</f>
        <v>41.966999999999999</v>
      </c>
    </row>
    <row r="214" spans="1:4" x14ac:dyDescent="0.35">
      <c r="A214" t="s">
        <v>4</v>
      </c>
      <c r="B214" s="20">
        <f>Table_supermarket_sales___Sheet1[[#This Row],[Cost Price]]+Table57[[#This Row],[Markup Cost]]</f>
        <v>115.45</v>
      </c>
      <c r="C214">
        <v>10</v>
      </c>
      <c r="D214" s="21">
        <f>Table4[[#This Row],[Selling Price]]-Table_supermarket_sales___Sheet1[[#This Row],[Cost Price]]</f>
        <v>23.090000000000003</v>
      </c>
    </row>
    <row r="215" spans="1:4" x14ac:dyDescent="0.35">
      <c r="A215" t="s">
        <v>6</v>
      </c>
      <c r="B215" s="20">
        <f>Table_supermarket_sales___Sheet1[[#This Row],[Cost Price]]+Table57[[#This Row],[Markup Cost]]</f>
        <v>53.383000000000003</v>
      </c>
      <c r="C215">
        <v>1</v>
      </c>
      <c r="D215" s="21">
        <f>Table4[[#This Row],[Selling Price]]-Table_supermarket_sales___Sheet1[[#This Row],[Cost Price]]</f>
        <v>6.963000000000001</v>
      </c>
    </row>
    <row r="216" spans="1:4" x14ac:dyDescent="0.35">
      <c r="A216" t="s">
        <v>1</v>
      </c>
      <c r="B216" s="20">
        <f>Table_supermarket_sales___Sheet1[[#This Row],[Cost Price]]+Table57[[#This Row],[Markup Cost]]</f>
        <v>39.973500000000001</v>
      </c>
      <c r="C216">
        <v>10</v>
      </c>
      <c r="D216" s="21">
        <f>Table4[[#This Row],[Selling Price]]-Table_supermarket_sales___Sheet1[[#This Row],[Cost Price]]</f>
        <v>10.363500000000002</v>
      </c>
    </row>
    <row r="217" spans="1:4" x14ac:dyDescent="0.35">
      <c r="A217" t="s">
        <v>2</v>
      </c>
      <c r="B217" s="20">
        <f>Table_supermarket_sales___Sheet1[[#This Row],[Cost Price]]+Table57[[#This Row],[Markup Cost]]</f>
        <v>19.194000000000003</v>
      </c>
      <c r="C217">
        <v>9</v>
      </c>
      <c r="D217" s="21">
        <f>Table4[[#This Row],[Selling Price]]-Table_supermarket_sales___Sheet1[[#This Row],[Cost Price]]</f>
        <v>0.91400000000000148</v>
      </c>
    </row>
    <row r="218" spans="1:4" x14ac:dyDescent="0.35">
      <c r="A218" t="s">
        <v>4</v>
      </c>
      <c r="B218" s="20">
        <f>Table_supermarket_sales___Sheet1[[#This Row],[Cost Price]]+Table57[[#This Row],[Markup Cost]]</f>
        <v>30.962499999999999</v>
      </c>
      <c r="C218">
        <v>8</v>
      </c>
      <c r="D218" s="21">
        <f>Table4[[#This Row],[Selling Price]]-Table_supermarket_sales___Sheet1[[#This Row],[Cost Price]]</f>
        <v>6.192499999999999</v>
      </c>
    </row>
    <row r="219" spans="1:4" x14ac:dyDescent="0.35">
      <c r="A219" t="s">
        <v>2</v>
      </c>
      <c r="B219" s="20">
        <f>Table_supermarket_sales___Sheet1[[#This Row],[Cost Price]]+Table57[[#This Row],[Markup Cost]]</f>
        <v>108.836</v>
      </c>
      <c r="C219">
        <v>7</v>
      </c>
      <c r="D219" s="21">
        <f>Table4[[#This Row],[Selling Price]]-Table_supermarket_sales___Sheet1[[#This Row],[Cost Price]]</f>
        <v>14.195999999999998</v>
      </c>
    </row>
    <row r="220" spans="1:4" x14ac:dyDescent="0.35">
      <c r="A220" t="s">
        <v>1</v>
      </c>
      <c r="B220" s="20">
        <f>Table_supermarket_sales___Sheet1[[#This Row],[Cost Price]]+Table57[[#This Row],[Markup Cost]]</f>
        <v>132.81800000000001</v>
      </c>
      <c r="C220">
        <v>7</v>
      </c>
      <c r="D220" s="21">
        <f>Table4[[#This Row],[Selling Price]]-Table_supermarket_sales___Sheet1[[#This Row],[Cost Price]]</f>
        <v>37.948000000000008</v>
      </c>
    </row>
    <row r="221" spans="1:4" x14ac:dyDescent="0.35">
      <c r="A221" t="s">
        <v>4</v>
      </c>
      <c r="B221" s="20">
        <f>Table_supermarket_sales___Sheet1[[#This Row],[Cost Price]]+Table57[[#This Row],[Markup Cost]]</f>
        <v>65.941000000000003</v>
      </c>
      <c r="C221">
        <v>2</v>
      </c>
      <c r="D221" s="21">
        <f>Table4[[#This Row],[Selling Price]]-Table_supermarket_sales___Sheet1[[#This Row],[Cost Price]]</f>
        <v>8.6009999999999991</v>
      </c>
    </row>
    <row r="222" spans="1:4" x14ac:dyDescent="0.35">
      <c r="A222" t="s">
        <v>4</v>
      </c>
      <c r="B222" s="20">
        <f>Table_supermarket_sales___Sheet1[[#This Row],[Cost Price]]+Table57[[#This Row],[Markup Cost]]</f>
        <v>58.954999999999998</v>
      </c>
      <c r="C222">
        <v>3</v>
      </c>
      <c r="D222" s="21">
        <f>Table4[[#This Row],[Selling Price]]-Table_supermarket_sales___Sheet1[[#This Row],[Cost Price]]</f>
        <v>13.604999999999997</v>
      </c>
    </row>
    <row r="223" spans="1:4" x14ac:dyDescent="0.35">
      <c r="A223" t="s">
        <v>1</v>
      </c>
      <c r="B223" s="20">
        <f>Table_supermarket_sales___Sheet1[[#This Row],[Cost Price]]+Table57[[#This Row],[Markup Cost]]</f>
        <v>83.807999999999993</v>
      </c>
      <c r="C223">
        <v>1</v>
      </c>
      <c r="D223" s="21">
        <f>Table4[[#This Row],[Selling Price]]-Table_supermarket_sales___Sheet1[[#This Row],[Cost Price]]</f>
        <v>21.727999999999994</v>
      </c>
    </row>
    <row r="224" spans="1:4" x14ac:dyDescent="0.35">
      <c r="A224" t="s">
        <v>6</v>
      </c>
      <c r="B224" s="20">
        <f>Table_supermarket_sales___Sheet1[[#This Row],[Cost Price]]+Table57[[#This Row],[Markup Cost]]</f>
        <v>14.762500000000001</v>
      </c>
      <c r="C224">
        <v>4</v>
      </c>
      <c r="D224" s="21">
        <f>Table4[[#This Row],[Selling Price]]-Table_supermarket_sales___Sheet1[[#This Row],[Cost Price]]</f>
        <v>2.9525000000000006</v>
      </c>
    </row>
    <row r="225" spans="1:4" x14ac:dyDescent="0.35">
      <c r="A225" t="s">
        <v>6</v>
      </c>
      <c r="B225" s="20">
        <f>Table_supermarket_sales___Sheet1[[#This Row],[Cost Price]]+Table57[[#This Row],[Markup Cost]]</f>
        <v>13.167</v>
      </c>
      <c r="C225">
        <v>5</v>
      </c>
      <c r="D225" s="21">
        <f>Table4[[#This Row],[Selling Price]]-Table_supermarket_sales___Sheet1[[#This Row],[Cost Price]]</f>
        <v>0.62700000000000067</v>
      </c>
    </row>
    <row r="226" spans="1:4" x14ac:dyDescent="0.35">
      <c r="A226" t="s">
        <v>5</v>
      </c>
      <c r="B226" s="20">
        <f>Table_supermarket_sales___Sheet1[[#This Row],[Cost Price]]+Table57[[#This Row],[Markup Cost]]</f>
        <v>47.575000000000003</v>
      </c>
      <c r="C226">
        <v>6</v>
      </c>
      <c r="D226" s="21">
        <f>Table4[[#This Row],[Selling Price]]-Table_supermarket_sales___Sheet1[[#This Row],[Cost Price]]</f>
        <v>4.3250000000000028</v>
      </c>
    </row>
    <row r="227" spans="1:4" x14ac:dyDescent="0.35">
      <c r="A227" t="s">
        <v>1</v>
      </c>
      <c r="B227" s="20">
        <f>Table_supermarket_sales___Sheet1[[#This Row],[Cost Price]]+Table57[[#This Row],[Markup Cost]]</f>
        <v>95.875999999999991</v>
      </c>
      <c r="C227">
        <v>2</v>
      </c>
      <c r="D227" s="21">
        <f>Table4[[#This Row],[Selling Price]]-Table_supermarket_sales___Sheet1[[#This Row],[Cost Price]]</f>
        <v>8.715999999999994</v>
      </c>
    </row>
    <row r="228" spans="1:4" x14ac:dyDescent="0.35">
      <c r="A228" t="s">
        <v>5</v>
      </c>
      <c r="B228" s="20">
        <f>Table_supermarket_sales___Sheet1[[#This Row],[Cost Price]]+Table57[[#This Row],[Markup Cost]]</f>
        <v>100.5865</v>
      </c>
      <c r="C228">
        <v>9</v>
      </c>
      <c r="D228" s="21">
        <f>Table4[[#This Row],[Selling Price]]-Table_supermarket_sales___Sheet1[[#This Row],[Cost Price]]</f>
        <v>31.216499999999996</v>
      </c>
    </row>
    <row r="229" spans="1:4" x14ac:dyDescent="0.35">
      <c r="A229" t="s">
        <v>4</v>
      </c>
      <c r="B229" s="20">
        <f>Table_supermarket_sales___Sheet1[[#This Row],[Cost Price]]+Table57[[#This Row],[Markup Cost]]</f>
        <v>44.472000000000001</v>
      </c>
      <c r="C229">
        <v>9</v>
      </c>
      <c r="D229" s="21">
        <f>Table4[[#This Row],[Selling Price]]-Table_supermarket_sales___Sheet1[[#This Row],[Cost Price]]</f>
        <v>7.411999999999999</v>
      </c>
    </row>
    <row r="230" spans="1:4" x14ac:dyDescent="0.35">
      <c r="A230" t="s">
        <v>4</v>
      </c>
      <c r="B230" s="20">
        <f>Table_supermarket_sales___Sheet1[[#This Row],[Cost Price]]+Table57[[#This Row],[Markup Cost]]</f>
        <v>117.91</v>
      </c>
      <c r="C230">
        <v>10</v>
      </c>
      <c r="D230" s="21">
        <f>Table4[[#This Row],[Selling Price]]-Table_supermarket_sales___Sheet1[[#This Row],[Cost Price]]</f>
        <v>27.209999999999994</v>
      </c>
    </row>
    <row r="231" spans="1:4" x14ac:dyDescent="0.35">
      <c r="A231" t="s">
        <v>3</v>
      </c>
      <c r="B231" s="20">
        <f>Table_supermarket_sales___Sheet1[[#This Row],[Cost Price]]+Table57[[#This Row],[Markup Cost]]</f>
        <v>88.787999999999997</v>
      </c>
      <c r="C231">
        <v>2</v>
      </c>
      <c r="D231" s="21">
        <f>Table4[[#This Row],[Selling Price]]-Table_supermarket_sales___Sheet1[[#This Row],[Cost Price]]</f>
        <v>25.367999999999995</v>
      </c>
    </row>
    <row r="232" spans="1:4" x14ac:dyDescent="0.35">
      <c r="A232" t="s">
        <v>4</v>
      </c>
      <c r="B232" s="20">
        <f>Table_supermarket_sales___Sheet1[[#This Row],[Cost Price]]+Table57[[#This Row],[Markup Cost]]</f>
        <v>89.507000000000005</v>
      </c>
      <c r="C232">
        <v>1</v>
      </c>
      <c r="D232" s="21">
        <f>Table4[[#This Row],[Selling Price]]-Table_supermarket_sales___Sheet1[[#This Row],[Cost Price]]</f>
        <v>8.1370000000000005</v>
      </c>
    </row>
    <row r="233" spans="1:4" x14ac:dyDescent="0.35">
      <c r="A233" t="s">
        <v>3</v>
      </c>
      <c r="B233" s="20">
        <f>Table_supermarket_sales___Sheet1[[#This Row],[Cost Price]]+Table57[[#This Row],[Markup Cost]]</f>
        <v>12.1785</v>
      </c>
      <c r="C233">
        <v>9</v>
      </c>
      <c r="D233" s="21">
        <f>Table4[[#This Row],[Selling Price]]-Table_supermarket_sales___Sheet1[[#This Row],[Cost Price]]</f>
        <v>1.5884999999999998</v>
      </c>
    </row>
    <row r="234" spans="1:4" x14ac:dyDescent="0.35">
      <c r="A234" t="s">
        <v>6</v>
      </c>
      <c r="B234" s="20">
        <f>Table_supermarket_sales___Sheet1[[#This Row],[Cost Price]]+Table57[[#This Row],[Markup Cost]]</f>
        <v>121.93049999999999</v>
      </c>
      <c r="C234">
        <v>4</v>
      </c>
      <c r="D234" s="21">
        <f>Table4[[#This Row],[Selling Price]]-Table_supermarket_sales___Sheet1[[#This Row],[Cost Price]]</f>
        <v>37.840499999999992</v>
      </c>
    </row>
    <row r="235" spans="1:4" x14ac:dyDescent="0.35">
      <c r="A235" t="s">
        <v>3</v>
      </c>
      <c r="B235" s="20">
        <f>Table_supermarket_sales___Sheet1[[#This Row],[Cost Price]]+Table57[[#This Row],[Markup Cost]]</f>
        <v>88.583999999999989</v>
      </c>
      <c r="C235">
        <v>8</v>
      </c>
      <c r="D235" s="21">
        <f>Table4[[#This Row],[Selling Price]]-Table_supermarket_sales___Sheet1[[#This Row],[Cost Price]]</f>
        <v>14.763999999999996</v>
      </c>
    </row>
    <row r="236" spans="1:4" x14ac:dyDescent="0.35">
      <c r="A236" t="s">
        <v>3</v>
      </c>
      <c r="B236" s="20">
        <f>Table_supermarket_sales___Sheet1[[#This Row],[Cost Price]]+Table57[[#This Row],[Markup Cost]]</f>
        <v>77.91</v>
      </c>
      <c r="C236">
        <v>2</v>
      </c>
      <c r="D236" s="21">
        <f>Table4[[#This Row],[Selling Price]]-Table_supermarket_sales___Sheet1[[#This Row],[Cost Price]]</f>
        <v>25.97</v>
      </c>
    </row>
    <row r="237" spans="1:4" x14ac:dyDescent="0.35">
      <c r="A237" t="s">
        <v>5</v>
      </c>
      <c r="B237" s="20">
        <f>Table_supermarket_sales___Sheet1[[#This Row],[Cost Price]]+Table57[[#This Row],[Markup Cost]]</f>
        <v>102.45400000000001</v>
      </c>
      <c r="C237">
        <v>9</v>
      </c>
      <c r="D237" s="21">
        <f>Table4[[#This Row],[Selling Price]]-Table_supermarket_sales___Sheet1[[#This Row],[Cost Price]]</f>
        <v>9.3140000000000072</v>
      </c>
    </row>
    <row r="238" spans="1:4" x14ac:dyDescent="0.35">
      <c r="A238" t="s">
        <v>5</v>
      </c>
      <c r="B238" s="20">
        <f>Table_supermarket_sales___Sheet1[[#This Row],[Cost Price]]+Table57[[#This Row],[Markup Cost]]</f>
        <v>21.762499999999999</v>
      </c>
      <c r="C238">
        <v>10</v>
      </c>
      <c r="D238" s="21">
        <f>Table4[[#This Row],[Selling Price]]-Table_supermarket_sales___Sheet1[[#This Row],[Cost Price]]</f>
        <v>4.3524999999999991</v>
      </c>
    </row>
    <row r="239" spans="1:4" x14ac:dyDescent="0.35">
      <c r="A239" t="s">
        <v>4</v>
      </c>
      <c r="B239" s="20">
        <f>Table_supermarket_sales___Sheet1[[#This Row],[Cost Price]]+Table57[[#This Row],[Markup Cost]]</f>
        <v>55.274999999999999</v>
      </c>
      <c r="C239">
        <v>2</v>
      </c>
      <c r="D239" s="21">
        <f>Table4[[#This Row],[Selling Price]]-Table_supermarket_sales___Sheet1[[#This Row],[Cost Price]]</f>
        <v>11.055</v>
      </c>
    </row>
    <row r="240" spans="1:4" x14ac:dyDescent="0.35">
      <c r="A240" t="s">
        <v>4</v>
      </c>
      <c r="B240" s="20">
        <f>Table_supermarket_sales___Sheet1[[#This Row],[Cost Price]]+Table57[[#This Row],[Markup Cost]]</f>
        <v>16.525000000000002</v>
      </c>
      <c r="C240">
        <v>1</v>
      </c>
      <c r="D240" s="21">
        <f>Table4[[#This Row],[Selling Price]]-Table_supermarket_sales___Sheet1[[#This Row],[Cost Price]]</f>
        <v>3.3050000000000015</v>
      </c>
    </row>
    <row r="241" spans="1:4" x14ac:dyDescent="0.35">
      <c r="A241" t="s">
        <v>5</v>
      </c>
      <c r="B241" s="20">
        <f>Table_supermarket_sales___Sheet1[[#This Row],[Cost Price]]+Table57[[#This Row],[Markup Cost]]</f>
        <v>94.174499999999995</v>
      </c>
      <c r="C241">
        <v>7</v>
      </c>
      <c r="D241" s="21">
        <f>Table4[[#This Row],[Selling Price]]-Table_supermarket_sales___Sheet1[[#This Row],[Cost Price]]</f>
        <v>4.484499999999997</v>
      </c>
    </row>
    <row r="242" spans="1:4" x14ac:dyDescent="0.35">
      <c r="A242" t="s">
        <v>6</v>
      </c>
      <c r="B242" s="20">
        <f>Table_supermarket_sales___Sheet1[[#This Row],[Cost Price]]+Table57[[#This Row],[Markup Cost]]</f>
        <v>36.163000000000004</v>
      </c>
      <c r="C242">
        <v>2</v>
      </c>
      <c r="D242" s="21">
        <f>Table4[[#This Row],[Selling Price]]-Table_supermarket_sales___Sheet1[[#This Row],[Cost Price]]</f>
        <v>11.223000000000003</v>
      </c>
    </row>
    <row r="243" spans="1:4" x14ac:dyDescent="0.35">
      <c r="A243" t="s">
        <v>1</v>
      </c>
      <c r="B243" s="20">
        <f>Table_supermarket_sales___Sheet1[[#This Row],[Cost Price]]+Table57[[#This Row],[Markup Cost]]</f>
        <v>65.747</v>
      </c>
      <c r="C243">
        <v>7</v>
      </c>
      <c r="D243" s="21">
        <f>Table4[[#This Row],[Selling Price]]-Table_supermarket_sales___Sheet1[[#This Row],[Cost Price]]</f>
        <v>5.9769999999999968</v>
      </c>
    </row>
    <row r="244" spans="1:4" x14ac:dyDescent="0.35">
      <c r="A244" t="s">
        <v>4</v>
      </c>
      <c r="B244" s="20">
        <f>Table_supermarket_sales___Sheet1[[#This Row],[Cost Price]]+Table57[[#This Row],[Markup Cost]]</f>
        <v>102.52000000000001</v>
      </c>
      <c r="C244">
        <v>2</v>
      </c>
      <c r="D244" s="21">
        <f>Table4[[#This Row],[Selling Price]]-Table_supermarket_sales___Sheet1[[#This Row],[Cost Price]]</f>
        <v>9.3200000000000074</v>
      </c>
    </row>
    <row r="245" spans="1:4" x14ac:dyDescent="0.35">
      <c r="A245" t="s">
        <v>3</v>
      </c>
      <c r="B245" s="20">
        <f>Table_supermarket_sales___Sheet1[[#This Row],[Cost Price]]+Table57[[#This Row],[Markup Cost]]</f>
        <v>75.179999999999993</v>
      </c>
      <c r="C245">
        <v>5</v>
      </c>
      <c r="D245" s="21">
        <f>Table4[[#This Row],[Selling Price]]-Table_supermarket_sales___Sheet1[[#This Row],[Cost Price]]</f>
        <v>12.529999999999994</v>
      </c>
    </row>
    <row r="246" spans="1:4" x14ac:dyDescent="0.35">
      <c r="A246" t="s">
        <v>6</v>
      </c>
      <c r="B246" s="20">
        <f>Table_supermarket_sales___Sheet1[[#This Row],[Cost Price]]+Table57[[#This Row],[Markup Cost]]</f>
        <v>131.41800000000001</v>
      </c>
      <c r="C246">
        <v>9</v>
      </c>
      <c r="D246" s="21">
        <f>Table4[[#This Row],[Selling Price]]-Table_supermarket_sales___Sheet1[[#This Row],[Cost Price]]</f>
        <v>37.548000000000002</v>
      </c>
    </row>
    <row r="247" spans="1:4" x14ac:dyDescent="0.35">
      <c r="A247" t="s">
        <v>3</v>
      </c>
      <c r="B247" s="20">
        <f>Table_supermarket_sales___Sheet1[[#This Row],[Cost Price]]+Table57[[#This Row],[Markup Cost]]</f>
        <v>66.626000000000005</v>
      </c>
      <c r="C247">
        <v>7</v>
      </c>
      <c r="D247" s="21">
        <f>Table4[[#This Row],[Selling Price]]-Table_supermarket_sales___Sheet1[[#This Row],[Cost Price]]</f>
        <v>19.036000000000001</v>
      </c>
    </row>
    <row r="248" spans="1:4" x14ac:dyDescent="0.35">
      <c r="A248" t="s">
        <v>4</v>
      </c>
      <c r="B248" s="20">
        <f>Table_supermarket_sales___Sheet1[[#This Row],[Cost Price]]+Table57[[#This Row],[Markup Cost]]</f>
        <v>93.610000000000014</v>
      </c>
      <c r="C248">
        <v>10</v>
      </c>
      <c r="D248" s="21">
        <f>Table4[[#This Row],[Selling Price]]-Table_supermarket_sales___Sheet1[[#This Row],[Cost Price]]</f>
        <v>12.210000000000008</v>
      </c>
    </row>
    <row r="249" spans="1:4" x14ac:dyDescent="0.35">
      <c r="A249" t="s">
        <v>6</v>
      </c>
      <c r="B249" s="20">
        <f>Table_supermarket_sales___Sheet1[[#This Row],[Cost Price]]+Table57[[#This Row],[Markup Cost]]</f>
        <v>22.425000000000001</v>
      </c>
      <c r="C249">
        <v>2</v>
      </c>
      <c r="D249" s="21">
        <f>Table4[[#This Row],[Selling Price]]-Table_supermarket_sales___Sheet1[[#This Row],[Cost Price]]</f>
        <v>4.4849999999999994</v>
      </c>
    </row>
    <row r="250" spans="1:4" x14ac:dyDescent="0.35">
      <c r="A250" t="s">
        <v>5</v>
      </c>
      <c r="B250" s="20">
        <f>Table_supermarket_sales___Sheet1[[#This Row],[Cost Price]]+Table57[[#This Row],[Markup Cost]]</f>
        <v>93.263999999999996</v>
      </c>
      <c r="C250">
        <v>6</v>
      </c>
      <c r="D250" s="21">
        <f>Table4[[#This Row],[Selling Price]]-Table_supermarket_sales___Sheet1[[#This Row],[Cost Price]]</f>
        <v>15.543999999999997</v>
      </c>
    </row>
    <row r="251" spans="1:4" x14ac:dyDescent="0.35">
      <c r="A251" t="s">
        <v>4</v>
      </c>
      <c r="B251" s="20">
        <f>Table_supermarket_sales___Sheet1[[#This Row],[Cost Price]]+Table57[[#This Row],[Markup Cost]]</f>
        <v>98.631</v>
      </c>
      <c r="C251">
        <v>5</v>
      </c>
      <c r="D251" s="21">
        <f>Table4[[#This Row],[Selling Price]]-Table_supermarket_sales___Sheet1[[#This Row],[Cost Price]]</f>
        <v>25.570999999999998</v>
      </c>
    </row>
    <row r="252" spans="1:4" x14ac:dyDescent="0.35">
      <c r="A252" t="s">
        <v>2</v>
      </c>
      <c r="B252" s="20">
        <f>Table_supermarket_sales___Sheet1[[#This Row],[Cost Price]]+Table57[[#This Row],[Markup Cost]]</f>
        <v>67.497500000000002</v>
      </c>
      <c r="C252">
        <v>3</v>
      </c>
      <c r="D252" s="21">
        <f>Table4[[#This Row],[Selling Price]]-Table_supermarket_sales___Sheet1[[#This Row],[Cost Price]]</f>
        <v>20.947500000000005</v>
      </c>
    </row>
    <row r="253" spans="1:4" x14ac:dyDescent="0.35">
      <c r="A253" t="s">
        <v>4</v>
      </c>
      <c r="B253" s="20">
        <f>Table_supermarket_sales___Sheet1[[#This Row],[Cost Price]]+Table57[[#This Row],[Markup Cost]]</f>
        <v>52.784999999999997</v>
      </c>
      <c r="C253">
        <v>6</v>
      </c>
      <c r="D253" s="21">
        <f>Table4[[#This Row],[Selling Price]]-Table_supermarket_sales___Sheet1[[#This Row],[Cost Price]]</f>
        <v>17.594999999999999</v>
      </c>
    </row>
    <row r="254" spans="1:4" x14ac:dyDescent="0.35">
      <c r="A254" t="s">
        <v>3</v>
      </c>
      <c r="B254" s="20">
        <f>Table_supermarket_sales___Sheet1[[#This Row],[Cost Price]]+Table57[[#This Row],[Markup Cost]]</f>
        <v>15.829000000000001</v>
      </c>
      <c r="C254">
        <v>3</v>
      </c>
      <c r="D254" s="21">
        <f>Table4[[#This Row],[Selling Price]]-Table_supermarket_sales___Sheet1[[#This Row],[Cost Price]]</f>
        <v>1.4390000000000001</v>
      </c>
    </row>
    <row r="255" spans="1:4" x14ac:dyDescent="0.35">
      <c r="A255" t="s">
        <v>5</v>
      </c>
      <c r="B255" s="20">
        <f>Table_supermarket_sales___Sheet1[[#This Row],[Cost Price]]+Table57[[#This Row],[Markup Cost]]</f>
        <v>28.5</v>
      </c>
      <c r="C255">
        <v>6</v>
      </c>
      <c r="D255" s="21">
        <f>Table4[[#This Row],[Selling Price]]-Table_supermarket_sales___Sheet1[[#This Row],[Cost Price]]</f>
        <v>4.75</v>
      </c>
    </row>
    <row r="256" spans="1:4" x14ac:dyDescent="0.35">
      <c r="A256" t="s">
        <v>5</v>
      </c>
      <c r="B256" s="20">
        <f>Table_supermarket_sales___Sheet1[[#This Row],[Cost Price]]+Table57[[#This Row],[Markup Cost]]</f>
        <v>82.46</v>
      </c>
      <c r="C256">
        <v>10</v>
      </c>
      <c r="D256" s="21">
        <f>Table4[[#This Row],[Selling Price]]-Table_supermarket_sales___Sheet1[[#This Row],[Cost Price]]</f>
        <v>23.559999999999995</v>
      </c>
    </row>
    <row r="257" spans="1:4" x14ac:dyDescent="0.35">
      <c r="A257" t="s">
        <v>2</v>
      </c>
      <c r="B257" s="20">
        <f>Table_supermarket_sales___Sheet1[[#This Row],[Cost Price]]+Table57[[#This Row],[Markup Cost]]</f>
        <v>39.143999999999998</v>
      </c>
      <c r="C257">
        <v>10</v>
      </c>
      <c r="D257" s="21">
        <f>Table4[[#This Row],[Selling Price]]-Table_supermarket_sales___Sheet1[[#This Row],[Cost Price]]</f>
        <v>6.5240000000000009</v>
      </c>
    </row>
    <row r="258" spans="1:4" x14ac:dyDescent="0.35">
      <c r="A258" t="s">
        <v>4</v>
      </c>
      <c r="B258" s="20">
        <f>Table_supermarket_sales___Sheet1[[#This Row],[Cost Price]]+Table57[[#This Row],[Markup Cost]]</f>
        <v>69.66749999999999</v>
      </c>
      <c r="C258">
        <v>5</v>
      </c>
      <c r="D258" s="21">
        <f>Table4[[#This Row],[Selling Price]]-Table_supermarket_sales___Sheet1[[#This Row],[Cost Price]]</f>
        <v>3.3174999999999955</v>
      </c>
    </row>
    <row r="259" spans="1:4" x14ac:dyDescent="0.35">
      <c r="A259" t="s">
        <v>6</v>
      </c>
      <c r="B259" s="20">
        <f>Table_supermarket_sales___Sheet1[[#This Row],[Cost Price]]+Table57[[#This Row],[Markup Cost]]</f>
        <v>33.683</v>
      </c>
      <c r="C259">
        <v>3</v>
      </c>
      <c r="D259" s="21">
        <f>Table4[[#This Row],[Selling Price]]-Table_supermarket_sales___Sheet1[[#This Row],[Cost Price]]</f>
        <v>7.7729999999999997</v>
      </c>
    </row>
    <row r="260" spans="1:4" x14ac:dyDescent="0.35">
      <c r="A260" t="s">
        <v>6</v>
      </c>
      <c r="B260" s="20">
        <f>Table_supermarket_sales___Sheet1[[#This Row],[Cost Price]]+Table57[[#This Row],[Markup Cost]]</f>
        <v>38.700000000000003</v>
      </c>
      <c r="C260">
        <v>8</v>
      </c>
      <c r="D260" s="21">
        <f>Table4[[#This Row],[Selling Price]]-Table_supermarket_sales___Sheet1[[#This Row],[Cost Price]]</f>
        <v>6.4500000000000028</v>
      </c>
    </row>
    <row r="261" spans="1:4" x14ac:dyDescent="0.35">
      <c r="A261" t="s">
        <v>1</v>
      </c>
      <c r="B261" s="20">
        <f>Table_supermarket_sales___Sheet1[[#This Row],[Cost Price]]+Table57[[#This Row],[Markup Cost]]</f>
        <v>79.128</v>
      </c>
      <c r="C261">
        <v>8</v>
      </c>
      <c r="D261" s="21">
        <f>Table4[[#This Row],[Selling Price]]-Table_supermarket_sales___Sheet1[[#This Row],[Cost Price]]</f>
        <v>13.188000000000002</v>
      </c>
    </row>
    <row r="262" spans="1:4" x14ac:dyDescent="0.35">
      <c r="A262" t="s">
        <v>1</v>
      </c>
      <c r="B262" s="20">
        <f>Table_supermarket_sales___Sheet1[[#This Row],[Cost Price]]+Table57[[#This Row],[Markup Cost]]</f>
        <v>108.837</v>
      </c>
      <c r="C262">
        <v>5</v>
      </c>
      <c r="D262" s="21">
        <f>Table4[[#This Row],[Selling Price]]-Table_supermarket_sales___Sheet1[[#This Row],[Cost Price]]</f>
        <v>33.777000000000001</v>
      </c>
    </row>
    <row r="263" spans="1:4" x14ac:dyDescent="0.35">
      <c r="A263" t="s">
        <v>6</v>
      </c>
      <c r="B263" s="20">
        <f>Table_supermarket_sales___Sheet1[[#This Row],[Cost Price]]+Table57[[#This Row],[Markup Cost]]</f>
        <v>19.739999999999998</v>
      </c>
      <c r="C263">
        <v>4</v>
      </c>
      <c r="D263" s="21">
        <f>Table4[[#This Row],[Selling Price]]-Table_supermarket_sales___Sheet1[[#This Row],[Cost Price]]</f>
        <v>3.2899999999999991</v>
      </c>
    </row>
    <row r="264" spans="1:4" x14ac:dyDescent="0.35">
      <c r="A264" t="s">
        <v>2</v>
      </c>
      <c r="B264" s="20">
        <f>Table_supermarket_sales___Sheet1[[#This Row],[Cost Price]]+Table57[[#This Row],[Markup Cost]]</f>
        <v>45.959999999999994</v>
      </c>
      <c r="C264">
        <v>4</v>
      </c>
      <c r="D264" s="21">
        <f>Table4[[#This Row],[Selling Price]]-Table_supermarket_sales___Sheet1[[#This Row],[Cost Price]]</f>
        <v>7.6599999999999966</v>
      </c>
    </row>
    <row r="265" spans="1:4" x14ac:dyDescent="0.35">
      <c r="A265" t="s">
        <v>5</v>
      </c>
      <c r="B265" s="20">
        <f>Table_supermarket_sales___Sheet1[[#This Row],[Cost Price]]+Table57[[#This Row],[Markup Cost]]</f>
        <v>33.36</v>
      </c>
      <c r="C265">
        <v>5</v>
      </c>
      <c r="D265" s="21">
        <f>Table4[[#This Row],[Selling Price]]-Table_supermarket_sales___Sheet1[[#This Row],[Cost Price]]</f>
        <v>11.120000000000001</v>
      </c>
    </row>
    <row r="266" spans="1:4" x14ac:dyDescent="0.35">
      <c r="A266" t="s">
        <v>3</v>
      </c>
      <c r="B266" s="20">
        <f>Table_supermarket_sales___Sheet1[[#This Row],[Cost Price]]+Table57[[#This Row],[Markup Cost]]</f>
        <v>57.172499999999999</v>
      </c>
      <c r="C266">
        <v>2</v>
      </c>
      <c r="D266" s="21">
        <f>Table4[[#This Row],[Selling Price]]-Table_supermarket_sales___Sheet1[[#This Row],[Cost Price]]</f>
        <v>2.7224999999999966</v>
      </c>
    </row>
    <row r="267" spans="1:4" x14ac:dyDescent="0.35">
      <c r="A267" t="s">
        <v>1</v>
      </c>
      <c r="B267" s="20">
        <f>Table_supermarket_sales___Sheet1[[#This Row],[Cost Price]]+Table57[[#This Row],[Markup Cost]]</f>
        <v>132.84</v>
      </c>
      <c r="C267">
        <v>7</v>
      </c>
      <c r="D267" s="21">
        <f>Table4[[#This Row],[Selling Price]]-Table_supermarket_sales___Sheet1[[#This Row],[Cost Price]]</f>
        <v>34.44</v>
      </c>
    </row>
    <row r="268" spans="1:4" x14ac:dyDescent="0.35">
      <c r="A268" t="s">
        <v>4</v>
      </c>
      <c r="B268" s="20">
        <f>Table_supermarket_sales___Sheet1[[#This Row],[Cost Price]]+Table57[[#This Row],[Markup Cost]]</f>
        <v>42.564</v>
      </c>
      <c r="C268">
        <v>4</v>
      </c>
      <c r="D268" s="21">
        <f>Table4[[#This Row],[Selling Price]]-Table_supermarket_sales___Sheet1[[#This Row],[Cost Price]]</f>
        <v>7.0940000000000012</v>
      </c>
    </row>
    <row r="269" spans="1:4" x14ac:dyDescent="0.35">
      <c r="A269" t="s">
        <v>4</v>
      </c>
      <c r="B269" s="20">
        <f>Table_supermarket_sales___Sheet1[[#This Row],[Cost Price]]+Table57[[#This Row],[Markup Cost]]</f>
        <v>111.89999999999999</v>
      </c>
      <c r="C269">
        <v>6</v>
      </c>
      <c r="D269" s="21">
        <f>Table4[[#This Row],[Selling Price]]-Table_supermarket_sales___Sheet1[[#This Row],[Cost Price]]</f>
        <v>37.299999999999997</v>
      </c>
    </row>
    <row r="270" spans="1:4" x14ac:dyDescent="0.35">
      <c r="A270" t="s">
        <v>6</v>
      </c>
      <c r="B270" s="20">
        <f>Table_supermarket_sales___Sheet1[[#This Row],[Cost Price]]+Table57[[#This Row],[Markup Cost]]</f>
        <v>84.887999999999991</v>
      </c>
      <c r="C270">
        <v>4</v>
      </c>
      <c r="D270" s="21">
        <f>Table4[[#This Row],[Selling Price]]-Table_supermarket_sales___Sheet1[[#This Row],[Cost Price]]</f>
        <v>14.147999999999996</v>
      </c>
    </row>
    <row r="271" spans="1:4" x14ac:dyDescent="0.35">
      <c r="A271" t="s">
        <v>1</v>
      </c>
      <c r="B271" s="20">
        <f>Table_supermarket_sales___Sheet1[[#This Row],[Cost Price]]+Table57[[#This Row],[Markup Cost]]</f>
        <v>53.31</v>
      </c>
      <c r="C271">
        <v>6</v>
      </c>
      <c r="D271" s="21">
        <f>Table4[[#This Row],[Selling Price]]-Table_supermarket_sales___Sheet1[[#This Row],[Cost Price]]</f>
        <v>17.770000000000003</v>
      </c>
    </row>
    <row r="272" spans="1:4" x14ac:dyDescent="0.35">
      <c r="A272" t="s">
        <v>2</v>
      </c>
      <c r="B272" s="20">
        <f>Table_supermarket_sales___Sheet1[[#This Row],[Cost Price]]+Table57[[#This Row],[Markup Cost]]</f>
        <v>84.287500000000009</v>
      </c>
      <c r="C272">
        <v>9</v>
      </c>
      <c r="D272" s="21">
        <f>Table4[[#This Row],[Selling Price]]-Table_supermarket_sales___Sheet1[[#This Row],[Cost Price]]</f>
        <v>16.857500000000002</v>
      </c>
    </row>
    <row r="273" spans="1:4" x14ac:dyDescent="0.35">
      <c r="A273" t="s">
        <v>3</v>
      </c>
      <c r="B273" s="20">
        <f>Table_supermarket_sales___Sheet1[[#This Row],[Cost Price]]+Table57[[#This Row],[Markup Cost]]</f>
        <v>23.231999999999999</v>
      </c>
      <c r="C273">
        <v>9</v>
      </c>
      <c r="D273" s="21">
        <f>Table4[[#This Row],[Selling Price]]-Table_supermarket_sales___Sheet1[[#This Row],[Cost Price]]</f>
        <v>2.1119999999999983</v>
      </c>
    </row>
    <row r="274" spans="1:4" x14ac:dyDescent="0.35">
      <c r="A274" t="s">
        <v>5</v>
      </c>
      <c r="B274" s="20">
        <f>Table_supermarket_sales___Sheet1[[#This Row],[Cost Price]]+Table57[[#This Row],[Markup Cost]]</f>
        <v>31.232999999999997</v>
      </c>
      <c r="C274">
        <v>3</v>
      </c>
      <c r="D274" s="21">
        <f>Table4[[#This Row],[Selling Price]]-Table_supermarket_sales___Sheet1[[#This Row],[Cost Price]]</f>
        <v>9.6929999999999978</v>
      </c>
    </row>
    <row r="275" spans="1:4" x14ac:dyDescent="0.35">
      <c r="A275" t="s">
        <v>2</v>
      </c>
      <c r="B275" s="20">
        <f>Table_supermarket_sales___Sheet1[[#This Row],[Cost Price]]+Table57[[#This Row],[Markup Cost]]</f>
        <v>13.232999999999999</v>
      </c>
      <c r="C275">
        <v>3</v>
      </c>
      <c r="D275" s="21">
        <f>Table4[[#This Row],[Selling Price]]-Table_supermarket_sales___Sheet1[[#This Row],[Cost Price]]</f>
        <v>1.2029999999999994</v>
      </c>
    </row>
    <row r="276" spans="1:4" x14ac:dyDescent="0.35">
      <c r="A276" t="s">
        <v>4</v>
      </c>
      <c r="B276" s="20">
        <f>Table_supermarket_sales___Sheet1[[#This Row],[Cost Price]]+Table57[[#This Row],[Markup Cost]]</f>
        <v>129.62299999999999</v>
      </c>
      <c r="C276">
        <v>10</v>
      </c>
      <c r="D276" s="21">
        <f>Table4[[#This Row],[Selling Price]]-Table_supermarket_sales___Sheet1[[#This Row],[Cost Price]]</f>
        <v>29.912999999999997</v>
      </c>
    </row>
    <row r="277" spans="1:4" x14ac:dyDescent="0.35">
      <c r="A277" t="s">
        <v>4</v>
      </c>
      <c r="B277" s="20">
        <f>Table_supermarket_sales___Sheet1[[#This Row],[Cost Price]]+Table57[[#This Row],[Markup Cost]]</f>
        <v>64.759500000000003</v>
      </c>
      <c r="C277">
        <v>7</v>
      </c>
      <c r="D277" s="21">
        <f>Table4[[#This Row],[Selling Price]]-Table_supermarket_sales___Sheet1[[#This Row],[Cost Price]]</f>
        <v>16.789500000000004</v>
      </c>
    </row>
    <row r="278" spans="1:4" x14ac:dyDescent="0.35">
      <c r="A278" t="s">
        <v>6</v>
      </c>
      <c r="B278" s="20">
        <f>Table_supermarket_sales___Sheet1[[#This Row],[Cost Price]]+Table57[[#This Row],[Markup Cost]]</f>
        <v>32.730000000000004</v>
      </c>
      <c r="C278">
        <v>1</v>
      </c>
      <c r="D278" s="21">
        <f>Table4[[#This Row],[Selling Price]]-Table_supermarket_sales___Sheet1[[#This Row],[Cost Price]]</f>
        <v>10.910000000000004</v>
      </c>
    </row>
    <row r="279" spans="1:4" x14ac:dyDescent="0.35">
      <c r="A279" t="s">
        <v>4</v>
      </c>
      <c r="B279" s="20">
        <f>Table_supermarket_sales___Sheet1[[#This Row],[Cost Price]]+Table57[[#This Row],[Markup Cost]]</f>
        <v>114.504</v>
      </c>
      <c r="C279">
        <v>5</v>
      </c>
      <c r="D279" s="21">
        <f>Table4[[#This Row],[Selling Price]]-Table_supermarket_sales___Sheet1[[#This Row],[Cost Price]]</f>
        <v>19.084000000000003</v>
      </c>
    </row>
    <row r="280" spans="1:4" x14ac:dyDescent="0.35">
      <c r="A280" t="s">
        <v>5</v>
      </c>
      <c r="B280" s="20">
        <f>Table_supermarket_sales___Sheet1[[#This Row],[Cost Price]]+Table57[[#This Row],[Markup Cost]]</f>
        <v>106.48499999999999</v>
      </c>
      <c r="C280">
        <v>2</v>
      </c>
      <c r="D280" s="21">
        <f>Table4[[#This Row],[Selling Price]]-Table_supermarket_sales___Sheet1[[#This Row],[Cost Price]]</f>
        <v>35.49499999999999</v>
      </c>
    </row>
    <row r="281" spans="1:4" x14ac:dyDescent="0.35">
      <c r="A281" t="s">
        <v>4</v>
      </c>
      <c r="B281" s="20">
        <f>Table_supermarket_sales___Sheet1[[#This Row],[Cost Price]]+Table57[[#This Row],[Markup Cost]]</f>
        <v>66.03</v>
      </c>
      <c r="C281">
        <v>6</v>
      </c>
      <c r="D281" s="21">
        <f>Table4[[#This Row],[Selling Price]]-Table_supermarket_sales___Sheet1[[#This Row],[Cost Price]]</f>
        <v>22.009999999999998</v>
      </c>
    </row>
    <row r="282" spans="1:4" x14ac:dyDescent="0.35">
      <c r="A282" t="s">
        <v>2</v>
      </c>
      <c r="B282" s="20">
        <f>Table_supermarket_sales___Sheet1[[#This Row],[Cost Price]]+Table57[[#This Row],[Markup Cost]]</f>
        <v>97.943999999999988</v>
      </c>
      <c r="C282">
        <v>8</v>
      </c>
      <c r="D282" s="21">
        <f>Table4[[#This Row],[Selling Price]]-Table_supermarket_sales___Sheet1[[#This Row],[Cost Price]]</f>
        <v>27.983999999999995</v>
      </c>
    </row>
    <row r="283" spans="1:4" x14ac:dyDescent="0.35">
      <c r="A283" t="s">
        <v>2</v>
      </c>
      <c r="B283" s="20">
        <f>Table_supermarket_sales___Sheet1[[#This Row],[Cost Price]]+Table57[[#This Row],[Markup Cost]]</f>
        <v>38.85</v>
      </c>
      <c r="C283">
        <v>10</v>
      </c>
      <c r="D283" s="21">
        <f>Table4[[#This Row],[Selling Price]]-Table_supermarket_sales___Sheet1[[#This Row],[Cost Price]]</f>
        <v>1.8500000000000014</v>
      </c>
    </row>
    <row r="284" spans="1:4" x14ac:dyDescent="0.35">
      <c r="A284" t="s">
        <v>2</v>
      </c>
      <c r="B284" s="20">
        <f>Table_supermarket_sales___Sheet1[[#This Row],[Cost Price]]+Table57[[#This Row],[Markup Cost]]</f>
        <v>16.106999999999999</v>
      </c>
      <c r="C284">
        <v>9</v>
      </c>
      <c r="D284" s="21">
        <f>Table4[[#This Row],[Selling Price]]-Table_supermarket_sales___Sheet1[[#This Row],[Cost Price]]</f>
        <v>0.76699999999999946</v>
      </c>
    </row>
    <row r="285" spans="1:4" x14ac:dyDescent="0.35">
      <c r="A285" t="s">
        <v>1</v>
      </c>
      <c r="B285" s="20">
        <f>Table_supermarket_sales___Sheet1[[#This Row],[Cost Price]]+Table57[[#This Row],[Markup Cost]]</f>
        <v>129.779</v>
      </c>
      <c r="C285">
        <v>1</v>
      </c>
      <c r="D285" s="21">
        <f>Table4[[#This Row],[Selling Price]]-Table_supermarket_sales___Sheet1[[#This Row],[Cost Price]]</f>
        <v>29.948999999999998</v>
      </c>
    </row>
    <row r="286" spans="1:4" x14ac:dyDescent="0.35">
      <c r="A286" t="s">
        <v>4</v>
      </c>
      <c r="B286" s="20">
        <f>Table_supermarket_sales___Sheet1[[#This Row],[Cost Price]]+Table57[[#This Row],[Markup Cost]]</f>
        <v>57.204000000000001</v>
      </c>
      <c r="C286">
        <v>3</v>
      </c>
      <c r="D286" s="21">
        <f>Table4[[#This Row],[Selling Price]]-Table_supermarket_sales___Sheet1[[#This Row],[Cost Price]]</f>
        <v>9.5339999999999989</v>
      </c>
    </row>
    <row r="287" spans="1:4" x14ac:dyDescent="0.35">
      <c r="A287" t="s">
        <v>4</v>
      </c>
      <c r="B287" s="20">
        <f>Table_supermarket_sales___Sheet1[[#This Row],[Cost Price]]+Table57[[#This Row],[Markup Cost]]</f>
        <v>83.350000000000009</v>
      </c>
      <c r="C287">
        <v>2</v>
      </c>
      <c r="D287" s="21">
        <f>Table4[[#This Row],[Selling Price]]-Table_supermarket_sales___Sheet1[[#This Row],[Cost Price]]</f>
        <v>16.670000000000002</v>
      </c>
    </row>
    <row r="288" spans="1:4" x14ac:dyDescent="0.35">
      <c r="A288" t="s">
        <v>4</v>
      </c>
      <c r="B288" s="20">
        <f>Table_supermarket_sales___Sheet1[[#This Row],[Cost Price]]+Table57[[#This Row],[Markup Cost]]</f>
        <v>78.602999999999994</v>
      </c>
      <c r="C288">
        <v>5</v>
      </c>
      <c r="D288" s="21">
        <f>Table4[[#This Row],[Selling Price]]-Table_supermarket_sales___Sheet1[[#This Row],[Cost Price]]</f>
        <v>3.742999999999995</v>
      </c>
    </row>
    <row r="289" spans="1:4" x14ac:dyDescent="0.35">
      <c r="A289" t="s">
        <v>6</v>
      </c>
      <c r="B289" s="20">
        <f>Table_supermarket_sales___Sheet1[[#This Row],[Cost Price]]+Table57[[#This Row],[Markup Cost]]</f>
        <v>34.4375</v>
      </c>
      <c r="C289">
        <v>10</v>
      </c>
      <c r="D289" s="21">
        <f>Table4[[#This Row],[Selling Price]]-Table_supermarket_sales___Sheet1[[#This Row],[Cost Price]]</f>
        <v>10.6875</v>
      </c>
    </row>
    <row r="290" spans="1:4" x14ac:dyDescent="0.35">
      <c r="A290" t="s">
        <v>5</v>
      </c>
      <c r="B290" s="20">
        <f>Table_supermarket_sales___Sheet1[[#This Row],[Cost Price]]+Table57[[#This Row],[Markup Cost]]</f>
        <v>65.488500000000002</v>
      </c>
      <c r="C290">
        <v>4</v>
      </c>
      <c r="D290" s="21">
        <f>Table4[[#This Row],[Selling Price]]-Table_supermarket_sales___Sheet1[[#This Row],[Cost Price]]</f>
        <v>16.978500000000004</v>
      </c>
    </row>
    <row r="291" spans="1:4" x14ac:dyDescent="0.35">
      <c r="A291" t="s">
        <v>4</v>
      </c>
      <c r="B291" s="20">
        <f>Table_supermarket_sales___Sheet1[[#This Row],[Cost Price]]+Table57[[#This Row],[Markup Cost]]</f>
        <v>128.08799999999999</v>
      </c>
      <c r="C291">
        <v>7</v>
      </c>
      <c r="D291" s="21">
        <f>Table4[[#This Row],[Selling Price]]-Table_supermarket_sales___Sheet1[[#This Row],[Cost Price]]</f>
        <v>33.207999999999998</v>
      </c>
    </row>
    <row r="292" spans="1:4" x14ac:dyDescent="0.35">
      <c r="A292" t="s">
        <v>3</v>
      </c>
      <c r="B292" s="20">
        <f>Table_supermarket_sales___Sheet1[[#This Row],[Cost Price]]+Table57[[#This Row],[Markup Cost]]</f>
        <v>60.449999999999996</v>
      </c>
      <c r="C292">
        <v>6</v>
      </c>
      <c r="D292" s="21">
        <f>Table4[[#This Row],[Selling Price]]-Table_supermarket_sales___Sheet1[[#This Row],[Cost Price]]</f>
        <v>20.149999999999999</v>
      </c>
    </row>
    <row r="293" spans="1:4" x14ac:dyDescent="0.35">
      <c r="A293" t="s">
        <v>5</v>
      </c>
      <c r="B293" s="20">
        <f>Table_supermarket_sales___Sheet1[[#This Row],[Cost Price]]+Table57[[#This Row],[Markup Cost]]</f>
        <v>37.597500000000004</v>
      </c>
      <c r="C293">
        <v>3</v>
      </c>
      <c r="D293" s="21">
        <f>Table4[[#This Row],[Selling Price]]-Table_supermarket_sales___Sheet1[[#This Row],[Cost Price]]</f>
        <v>9.7475000000000023</v>
      </c>
    </row>
    <row r="294" spans="1:4" x14ac:dyDescent="0.35">
      <c r="A294" t="s">
        <v>5</v>
      </c>
      <c r="B294" s="20">
        <f>Table_supermarket_sales___Sheet1[[#This Row],[Cost Price]]+Table57[[#This Row],[Markup Cost]]</f>
        <v>65.603999999999999</v>
      </c>
      <c r="C294">
        <v>6</v>
      </c>
      <c r="D294" s="21">
        <f>Table4[[#This Row],[Selling Price]]-Table_supermarket_sales___Sheet1[[#This Row],[Cost Price]]</f>
        <v>3.1240000000000023</v>
      </c>
    </row>
    <row r="295" spans="1:4" x14ac:dyDescent="0.35">
      <c r="A295" t="s">
        <v>6</v>
      </c>
      <c r="B295" s="20">
        <f>Table_supermarket_sales___Sheet1[[#This Row],[Cost Price]]+Table57[[#This Row],[Markup Cost]]</f>
        <v>39.996000000000002</v>
      </c>
      <c r="C295">
        <v>9</v>
      </c>
      <c r="D295" s="21">
        <f>Table4[[#This Row],[Selling Price]]-Table_supermarket_sales___Sheet1[[#This Row],[Cost Price]]</f>
        <v>3.6360000000000028</v>
      </c>
    </row>
    <row r="296" spans="1:4" x14ac:dyDescent="0.35">
      <c r="A296" t="s">
        <v>4</v>
      </c>
      <c r="B296" s="20">
        <f>Table_supermarket_sales___Sheet1[[#This Row],[Cost Price]]+Table57[[#This Row],[Markup Cost]]</f>
        <v>27.164999999999999</v>
      </c>
      <c r="C296">
        <v>1</v>
      </c>
      <c r="D296" s="21">
        <f>Table4[[#This Row],[Selling Price]]-Table_supermarket_sales___Sheet1[[#This Row],[Cost Price]]</f>
        <v>9.0549999999999997</v>
      </c>
    </row>
    <row r="297" spans="1:4" x14ac:dyDescent="0.35">
      <c r="A297" t="s">
        <v>1</v>
      </c>
      <c r="B297" s="20">
        <f>Table_supermarket_sales___Sheet1[[#This Row],[Cost Price]]+Table57[[#This Row],[Markup Cost]]</f>
        <v>64.900000000000006</v>
      </c>
      <c r="C297">
        <v>7</v>
      </c>
      <c r="D297" s="21">
        <f>Table4[[#This Row],[Selling Price]]-Table_supermarket_sales___Sheet1[[#This Row],[Cost Price]]</f>
        <v>12.980000000000004</v>
      </c>
    </row>
    <row r="298" spans="1:4" x14ac:dyDescent="0.35">
      <c r="A298" t="s">
        <v>3</v>
      </c>
      <c r="B298" s="20">
        <f>Table_supermarket_sales___Sheet1[[#This Row],[Cost Price]]+Table57[[#This Row],[Markup Cost]]</f>
        <v>34.607999999999997</v>
      </c>
      <c r="C298">
        <v>5</v>
      </c>
      <c r="D298" s="21">
        <f>Table4[[#This Row],[Selling Price]]-Table_supermarket_sales___Sheet1[[#This Row],[Cost Price]]</f>
        <v>5.7679999999999971</v>
      </c>
    </row>
    <row r="299" spans="1:4" x14ac:dyDescent="0.35">
      <c r="A299" t="s">
        <v>5</v>
      </c>
      <c r="B299" s="20">
        <f>Table_supermarket_sales___Sheet1[[#This Row],[Cost Price]]+Table57[[#This Row],[Markup Cost]]</f>
        <v>101.89399999999999</v>
      </c>
      <c r="C299">
        <v>4</v>
      </c>
      <c r="D299" s="21">
        <f>Table4[[#This Row],[Selling Price]]-Table_supermarket_sales___Sheet1[[#This Row],[Cost Price]]</f>
        <v>23.513999999999996</v>
      </c>
    </row>
    <row r="300" spans="1:4" x14ac:dyDescent="0.35">
      <c r="A300" t="s">
        <v>2</v>
      </c>
      <c r="B300" s="20">
        <f>Table_supermarket_sales___Sheet1[[#This Row],[Cost Price]]+Table57[[#This Row],[Markup Cost]]</f>
        <v>72.012</v>
      </c>
      <c r="C300">
        <v>9</v>
      </c>
      <c r="D300" s="21">
        <f>Table4[[#This Row],[Selling Price]]-Table_supermarket_sales___Sheet1[[#This Row],[Cost Price]]</f>
        <v>12.002000000000002</v>
      </c>
    </row>
    <row r="301" spans="1:4" x14ac:dyDescent="0.35">
      <c r="A301" t="s">
        <v>6</v>
      </c>
      <c r="B301" s="20">
        <f>Table_supermarket_sales___Sheet1[[#This Row],[Cost Price]]+Table57[[#This Row],[Markup Cost]]</f>
        <v>93.040499999999994</v>
      </c>
      <c r="C301">
        <v>2</v>
      </c>
      <c r="D301" s="21">
        <f>Table4[[#This Row],[Selling Price]]-Table_supermarket_sales___Sheet1[[#This Row],[Cost Price]]</f>
        <v>4.430499999999995</v>
      </c>
    </row>
    <row r="302" spans="1:4" x14ac:dyDescent="0.35">
      <c r="A302" t="s">
        <v>3</v>
      </c>
      <c r="B302" s="20">
        <f>Table_supermarket_sales___Sheet1[[#This Row],[Cost Price]]+Table57[[#This Row],[Markup Cost]]</f>
        <v>109.80199999999999</v>
      </c>
      <c r="C302">
        <v>6</v>
      </c>
      <c r="D302" s="21">
        <f>Table4[[#This Row],[Selling Price]]-Table_supermarket_sales___Sheet1[[#This Row],[Cost Price]]</f>
        <v>9.9819999999999993</v>
      </c>
    </row>
    <row r="303" spans="1:4" x14ac:dyDescent="0.35">
      <c r="A303" t="s">
        <v>1</v>
      </c>
      <c r="B303" s="20">
        <f>Table_supermarket_sales___Sheet1[[#This Row],[Cost Price]]+Table57[[#This Row],[Markup Cost]]</f>
        <v>40.960499999999996</v>
      </c>
      <c r="C303">
        <v>10</v>
      </c>
      <c r="D303" s="21">
        <f>Table4[[#This Row],[Selling Price]]-Table_supermarket_sales___Sheet1[[#This Row],[Cost Price]]</f>
        <v>1.9504999999999981</v>
      </c>
    </row>
    <row r="304" spans="1:4" x14ac:dyDescent="0.35">
      <c r="A304" t="s">
        <v>3</v>
      </c>
      <c r="B304" s="20">
        <f>Table_supermarket_sales___Sheet1[[#This Row],[Cost Price]]+Table57[[#This Row],[Markup Cost]]</f>
        <v>51.040500000000002</v>
      </c>
      <c r="C304">
        <v>10</v>
      </c>
      <c r="D304" s="21">
        <f>Table4[[#This Row],[Selling Price]]-Table_supermarket_sales___Sheet1[[#This Row],[Cost Price]]</f>
        <v>2.4305000000000021</v>
      </c>
    </row>
    <row r="305" spans="1:4" x14ac:dyDescent="0.35">
      <c r="A305" t="s">
        <v>4</v>
      </c>
      <c r="B305" s="20">
        <f>Table_supermarket_sales___Sheet1[[#This Row],[Cost Price]]+Table57[[#This Row],[Markup Cost]]</f>
        <v>61.427999999999997</v>
      </c>
      <c r="C305">
        <v>6</v>
      </c>
      <c r="D305" s="21">
        <f>Table4[[#This Row],[Selling Price]]-Table_supermarket_sales___Sheet1[[#This Row],[Cost Price]]</f>
        <v>10.238</v>
      </c>
    </row>
    <row r="306" spans="1:4" x14ac:dyDescent="0.35">
      <c r="A306" t="s">
        <v>1</v>
      </c>
      <c r="B306" s="20">
        <f>Table_supermarket_sales___Sheet1[[#This Row],[Cost Price]]+Table57[[#This Row],[Markup Cost]]</f>
        <v>20.944000000000003</v>
      </c>
      <c r="C306">
        <v>5</v>
      </c>
      <c r="D306" s="21">
        <f>Table4[[#This Row],[Selling Price]]-Table_supermarket_sales___Sheet1[[#This Row],[Cost Price]]</f>
        <v>5.9840000000000018</v>
      </c>
    </row>
    <row r="307" spans="1:4" x14ac:dyDescent="0.35">
      <c r="A307" t="s">
        <v>6</v>
      </c>
      <c r="B307" s="20">
        <f>Table_supermarket_sales___Sheet1[[#This Row],[Cost Price]]+Table57[[#This Row],[Markup Cost]]</f>
        <v>97.47</v>
      </c>
      <c r="C307">
        <v>1</v>
      </c>
      <c r="D307" s="21">
        <f>Table4[[#This Row],[Selling Price]]-Table_supermarket_sales___Sheet1[[#This Row],[Cost Price]]</f>
        <v>25.269999999999996</v>
      </c>
    </row>
    <row r="308" spans="1:4" x14ac:dyDescent="0.35">
      <c r="A308" t="s">
        <v>4</v>
      </c>
      <c r="B308" s="20">
        <f>Table_supermarket_sales___Sheet1[[#This Row],[Cost Price]]+Table57[[#This Row],[Markup Cost]]</f>
        <v>54.310499999999998</v>
      </c>
      <c r="C308">
        <v>5</v>
      </c>
      <c r="D308" s="21">
        <f>Table4[[#This Row],[Selling Price]]-Table_supermarket_sales___Sheet1[[#This Row],[Cost Price]]</f>
        <v>14.080500000000001</v>
      </c>
    </row>
    <row r="309" spans="1:4" x14ac:dyDescent="0.35">
      <c r="A309" t="s">
        <v>5</v>
      </c>
      <c r="B309" s="20">
        <f>Table_supermarket_sales___Sheet1[[#This Row],[Cost Price]]+Table57[[#This Row],[Markup Cost]]</f>
        <v>124.30600000000001</v>
      </c>
      <c r="C309">
        <v>3</v>
      </c>
      <c r="D309" s="21">
        <f>Table4[[#This Row],[Selling Price]]-Table_supermarket_sales___Sheet1[[#This Row],[Cost Price]]</f>
        <v>35.516000000000005</v>
      </c>
    </row>
    <row r="310" spans="1:4" x14ac:dyDescent="0.35">
      <c r="A310" t="s">
        <v>4</v>
      </c>
      <c r="B310" s="20">
        <f>Table_supermarket_sales___Sheet1[[#This Row],[Cost Price]]+Table57[[#This Row],[Markup Cost]]</f>
        <v>30.452000000000002</v>
      </c>
      <c r="C310">
        <v>10</v>
      </c>
      <c r="D310" s="21">
        <f>Table4[[#This Row],[Selling Price]]-Table_supermarket_sales___Sheet1[[#This Row],[Cost Price]]</f>
        <v>3.9720000000000013</v>
      </c>
    </row>
    <row r="311" spans="1:4" x14ac:dyDescent="0.35">
      <c r="A311" t="s">
        <v>3</v>
      </c>
      <c r="B311" s="20">
        <f>Table_supermarket_sales___Sheet1[[#This Row],[Cost Price]]+Table57[[#This Row],[Markup Cost]]</f>
        <v>90.100999999999999</v>
      </c>
      <c r="C311">
        <v>4</v>
      </c>
      <c r="D311" s="21">
        <f>Table4[[#This Row],[Selling Price]]-Table_supermarket_sales___Sheet1[[#This Row],[Cost Price]]</f>
        <v>8.1910000000000025</v>
      </c>
    </row>
    <row r="312" spans="1:4" x14ac:dyDescent="0.35">
      <c r="A312" t="s">
        <v>6</v>
      </c>
      <c r="B312" s="20">
        <f>Table_supermarket_sales___Sheet1[[#This Row],[Cost Price]]+Table57[[#This Row],[Markup Cost]]</f>
        <v>103.90900000000001</v>
      </c>
      <c r="C312">
        <v>1</v>
      </c>
      <c r="D312" s="21">
        <f>Table4[[#This Row],[Selling Price]]-Table_supermarket_sales___Sheet1[[#This Row],[Cost Price]]</f>
        <v>23.978999999999999</v>
      </c>
    </row>
    <row r="313" spans="1:4" x14ac:dyDescent="0.35">
      <c r="A313" t="s">
        <v>5</v>
      </c>
      <c r="B313" s="20">
        <f>Table_supermarket_sales___Sheet1[[#This Row],[Cost Price]]+Table57[[#This Row],[Markup Cost]]</f>
        <v>76.263000000000005</v>
      </c>
      <c r="C313">
        <v>7</v>
      </c>
      <c r="D313" s="21">
        <f>Table4[[#This Row],[Selling Price]]-Table_supermarket_sales___Sheet1[[#This Row],[Cost Price]]</f>
        <v>6.9330000000000069</v>
      </c>
    </row>
    <row r="314" spans="1:4" x14ac:dyDescent="0.35">
      <c r="A314" t="s">
        <v>6</v>
      </c>
      <c r="B314" s="20">
        <f>Table_supermarket_sales___Sheet1[[#This Row],[Cost Price]]+Table57[[#This Row],[Markup Cost]]</f>
        <v>17.787500000000001</v>
      </c>
      <c r="C314">
        <v>7</v>
      </c>
      <c r="D314" s="21">
        <f>Table4[[#This Row],[Selling Price]]-Table_supermarket_sales___Sheet1[[#This Row],[Cost Price]]</f>
        <v>3.557500000000001</v>
      </c>
    </row>
    <row r="315" spans="1:4" x14ac:dyDescent="0.35">
      <c r="A315" t="s">
        <v>6</v>
      </c>
      <c r="B315" s="20">
        <f>Table_supermarket_sales___Sheet1[[#This Row],[Cost Price]]+Table57[[#This Row],[Markup Cost]]</f>
        <v>22.547499999999999</v>
      </c>
      <c r="C315">
        <v>7</v>
      </c>
      <c r="D315" s="21">
        <f>Table4[[#This Row],[Selling Price]]-Table_supermarket_sales___Sheet1[[#This Row],[Cost Price]]</f>
        <v>6.9974999999999987</v>
      </c>
    </row>
    <row r="316" spans="1:4" x14ac:dyDescent="0.35">
      <c r="A316" t="s">
        <v>5</v>
      </c>
      <c r="B316" s="20">
        <f>Table_supermarket_sales___Sheet1[[#This Row],[Cost Price]]+Table57[[#This Row],[Markup Cost]]</f>
        <v>117.19499999999999</v>
      </c>
      <c r="C316">
        <v>2</v>
      </c>
      <c r="D316" s="21">
        <f>Table4[[#This Row],[Selling Price]]-Table_supermarket_sales___Sheet1[[#This Row],[Cost Price]]</f>
        <v>39.064999999999998</v>
      </c>
    </row>
    <row r="317" spans="1:4" x14ac:dyDescent="0.35">
      <c r="A317" t="s">
        <v>2</v>
      </c>
      <c r="B317" s="20">
        <f>Table_supermarket_sales___Sheet1[[#This Row],[Cost Price]]+Table57[[#This Row],[Markup Cost]]</f>
        <v>109.307</v>
      </c>
      <c r="C317">
        <v>7</v>
      </c>
      <c r="D317" s="21">
        <f>Table4[[#This Row],[Selling Price]]-Table_supermarket_sales___Sheet1[[#This Row],[Cost Price]]</f>
        <v>9.9369999999999976</v>
      </c>
    </row>
    <row r="318" spans="1:4" x14ac:dyDescent="0.35">
      <c r="A318" t="s">
        <v>2</v>
      </c>
      <c r="B318" s="20">
        <f>Table_supermarket_sales___Sheet1[[#This Row],[Cost Price]]+Table57[[#This Row],[Markup Cost]]</f>
        <v>24.241999999999997</v>
      </c>
      <c r="C318">
        <v>9</v>
      </c>
      <c r="D318" s="21">
        <f>Table4[[#This Row],[Selling Price]]-Table_supermarket_sales___Sheet1[[#This Row],[Cost Price]]</f>
        <v>3.161999999999999</v>
      </c>
    </row>
    <row r="319" spans="1:4" x14ac:dyDescent="0.35">
      <c r="A319" t="s">
        <v>4</v>
      </c>
      <c r="B319" s="20">
        <f>Table_supermarket_sales___Sheet1[[#This Row],[Cost Price]]+Table57[[#This Row],[Markup Cost]]</f>
        <v>93.487500000000011</v>
      </c>
      <c r="C319">
        <v>8</v>
      </c>
      <c r="D319" s="21">
        <f>Table4[[#This Row],[Selling Price]]-Table_supermarket_sales___Sheet1[[#This Row],[Cost Price]]</f>
        <v>18.697500000000005</v>
      </c>
    </row>
    <row r="320" spans="1:4" x14ac:dyDescent="0.35">
      <c r="A320" t="s">
        <v>5</v>
      </c>
      <c r="B320" s="20">
        <f>Table_supermarket_sales___Sheet1[[#This Row],[Cost Price]]+Table57[[#This Row],[Markup Cost]]</f>
        <v>40.054500000000004</v>
      </c>
      <c r="C320">
        <v>4</v>
      </c>
      <c r="D320" s="21">
        <f>Table4[[#This Row],[Selling Price]]-Table_supermarket_sales___Sheet1[[#This Row],[Cost Price]]</f>
        <v>10.384500000000003</v>
      </c>
    </row>
    <row r="321" spans="1:4" x14ac:dyDescent="0.35">
      <c r="A321" t="s">
        <v>5</v>
      </c>
      <c r="B321" s="20">
        <f>Table_supermarket_sales___Sheet1[[#This Row],[Cost Price]]+Table57[[#This Row],[Markup Cost]]</f>
        <v>52.884</v>
      </c>
      <c r="C321">
        <v>4</v>
      </c>
      <c r="D321" s="21">
        <f>Table4[[#This Row],[Selling Price]]-Table_supermarket_sales___Sheet1[[#This Row],[Cost Price]]</f>
        <v>8.8140000000000001</v>
      </c>
    </row>
    <row r="322" spans="1:4" x14ac:dyDescent="0.35">
      <c r="A322" t="s">
        <v>3</v>
      </c>
      <c r="B322" s="20">
        <f>Table_supermarket_sales___Sheet1[[#This Row],[Cost Price]]+Table57[[#This Row],[Markup Cost]]</f>
        <v>33.2485</v>
      </c>
      <c r="C322">
        <v>9</v>
      </c>
      <c r="D322" s="21">
        <f>Table4[[#This Row],[Selling Price]]-Table_supermarket_sales___Sheet1[[#This Row],[Cost Price]]</f>
        <v>10.3185</v>
      </c>
    </row>
    <row r="323" spans="1:4" x14ac:dyDescent="0.35">
      <c r="A323" t="s">
        <v>4</v>
      </c>
      <c r="B323" s="20">
        <f>Table_supermarket_sales___Sheet1[[#This Row],[Cost Price]]+Table57[[#This Row],[Markup Cost]]</f>
        <v>41.391000000000005</v>
      </c>
      <c r="C323">
        <v>4</v>
      </c>
      <c r="D323" s="21">
        <f>Table4[[#This Row],[Selling Price]]-Table_supermarket_sales___Sheet1[[#This Row],[Cost Price]]</f>
        <v>1.9710000000000036</v>
      </c>
    </row>
    <row r="324" spans="1:4" x14ac:dyDescent="0.35">
      <c r="A324" t="s">
        <v>6</v>
      </c>
      <c r="B324" s="20">
        <f>Table_supermarket_sales___Sheet1[[#This Row],[Cost Price]]+Table57[[#This Row],[Markup Cost]]</f>
        <v>19.838000000000001</v>
      </c>
      <c r="C324">
        <v>9</v>
      </c>
      <c r="D324" s="21">
        <f>Table4[[#This Row],[Selling Price]]-Table_supermarket_sales___Sheet1[[#This Row],[Cost Price]]</f>
        <v>4.5780000000000012</v>
      </c>
    </row>
    <row r="325" spans="1:4" x14ac:dyDescent="0.35">
      <c r="A325" t="s">
        <v>3</v>
      </c>
      <c r="B325" s="20">
        <f>Table_supermarket_sales___Sheet1[[#This Row],[Cost Price]]+Table57[[#This Row],[Markup Cost]]</f>
        <v>77.212500000000006</v>
      </c>
      <c r="C325">
        <v>5</v>
      </c>
      <c r="D325" s="21">
        <f>Table4[[#This Row],[Selling Price]]-Table_supermarket_sales___Sheet1[[#This Row],[Cost Price]]</f>
        <v>15.442500000000003</v>
      </c>
    </row>
    <row r="326" spans="1:4" x14ac:dyDescent="0.35">
      <c r="A326" t="s">
        <v>1</v>
      </c>
      <c r="B326" s="20">
        <f>Table_supermarket_sales___Sheet1[[#This Row],[Cost Price]]+Table57[[#This Row],[Markup Cost]]</f>
        <v>27.975999999999999</v>
      </c>
      <c r="C326">
        <v>7</v>
      </c>
      <c r="D326" s="21">
        <f>Table4[[#This Row],[Selling Price]]-Table_supermarket_sales___Sheet1[[#This Row],[Cost Price]]</f>
        <v>6.4559999999999995</v>
      </c>
    </row>
    <row r="327" spans="1:4" x14ac:dyDescent="0.35">
      <c r="A327" t="s">
        <v>2</v>
      </c>
      <c r="B327" s="20">
        <f>Table_supermarket_sales___Sheet1[[#This Row],[Cost Price]]+Table57[[#This Row],[Markup Cost]]</f>
        <v>117.288</v>
      </c>
      <c r="C327">
        <v>1</v>
      </c>
      <c r="D327" s="21">
        <f>Table4[[#This Row],[Selling Price]]-Table_supermarket_sales___Sheet1[[#This Row],[Cost Price]]</f>
        <v>19.548000000000002</v>
      </c>
    </row>
    <row r="328" spans="1:4" x14ac:dyDescent="0.35">
      <c r="A328" t="s">
        <v>6</v>
      </c>
      <c r="B328" s="20">
        <f>Table_supermarket_sales___Sheet1[[#This Row],[Cost Price]]+Table57[[#This Row],[Markup Cost]]</f>
        <v>124.72499999999999</v>
      </c>
      <c r="C328">
        <v>4</v>
      </c>
      <c r="D328" s="21">
        <f>Table4[[#This Row],[Selling Price]]-Table_supermarket_sales___Sheet1[[#This Row],[Cost Price]]</f>
        <v>24.944999999999993</v>
      </c>
    </row>
    <row r="329" spans="1:4" x14ac:dyDescent="0.35">
      <c r="A329" t="s">
        <v>5</v>
      </c>
      <c r="B329" s="20">
        <f>Table_supermarket_sales___Sheet1[[#This Row],[Cost Price]]+Table57[[#This Row],[Markup Cost]]</f>
        <v>113.11200000000001</v>
      </c>
      <c r="C329">
        <v>4</v>
      </c>
      <c r="D329" s="21">
        <f>Table4[[#This Row],[Selling Price]]-Table_supermarket_sales___Sheet1[[#This Row],[Cost Price]]</f>
        <v>18.852000000000004</v>
      </c>
    </row>
    <row r="330" spans="1:4" x14ac:dyDescent="0.35">
      <c r="A330" t="s">
        <v>2</v>
      </c>
      <c r="B330" s="20">
        <f>Table_supermarket_sales___Sheet1[[#This Row],[Cost Price]]+Table57[[#This Row],[Markup Cost]]</f>
        <v>61.356000000000002</v>
      </c>
      <c r="C330">
        <v>1</v>
      </c>
      <c r="D330" s="21">
        <f>Table4[[#This Row],[Selling Price]]-Table_supermarket_sales___Sheet1[[#This Row],[Cost Price]]</f>
        <v>10.225999999999999</v>
      </c>
    </row>
    <row r="331" spans="1:4" x14ac:dyDescent="0.35">
      <c r="A331" t="s">
        <v>6</v>
      </c>
      <c r="B331" s="20">
        <f>Table_supermarket_sales___Sheet1[[#This Row],[Cost Price]]+Table57[[#This Row],[Markup Cost]]</f>
        <v>43.631999999999998</v>
      </c>
      <c r="C331">
        <v>6</v>
      </c>
      <c r="D331" s="21">
        <f>Table4[[#This Row],[Selling Price]]-Table_supermarket_sales___Sheet1[[#This Row],[Cost Price]]</f>
        <v>7.2719999999999985</v>
      </c>
    </row>
    <row r="332" spans="1:4" x14ac:dyDescent="0.35">
      <c r="A332" t="s">
        <v>3</v>
      </c>
      <c r="B332" s="20">
        <f>Table_supermarket_sales___Sheet1[[#This Row],[Cost Price]]+Table57[[#This Row],[Markup Cost]]</f>
        <v>31.929000000000002</v>
      </c>
      <c r="C332">
        <v>2</v>
      </c>
      <c r="D332" s="21">
        <f>Table4[[#This Row],[Selling Price]]-Table_supermarket_sales___Sheet1[[#This Row],[Cost Price]]</f>
        <v>9.9090000000000025</v>
      </c>
    </row>
    <row r="333" spans="1:4" x14ac:dyDescent="0.35">
      <c r="A333" t="s">
        <v>3</v>
      </c>
      <c r="B333" s="20">
        <f>Table_supermarket_sales___Sheet1[[#This Row],[Cost Price]]+Table57[[#This Row],[Markup Cost]]</f>
        <v>37.835000000000001</v>
      </c>
      <c r="C333">
        <v>2</v>
      </c>
      <c r="D333" s="21">
        <f>Table4[[#This Row],[Selling Price]]-Table_supermarket_sales___Sheet1[[#This Row],[Cost Price]]</f>
        <v>4.9350000000000023</v>
      </c>
    </row>
    <row r="334" spans="1:4" x14ac:dyDescent="0.35">
      <c r="A334" t="s">
        <v>3</v>
      </c>
      <c r="B334" s="20">
        <f>Table_supermarket_sales___Sheet1[[#This Row],[Cost Price]]+Table57[[#This Row],[Markup Cost]]</f>
        <v>96.274999999999991</v>
      </c>
      <c r="C334">
        <v>7</v>
      </c>
      <c r="D334" s="21">
        <f>Table4[[#This Row],[Selling Price]]-Table_supermarket_sales___Sheet1[[#This Row],[Cost Price]]</f>
        <v>19.254999999999995</v>
      </c>
    </row>
    <row r="335" spans="1:4" x14ac:dyDescent="0.35">
      <c r="A335" t="s">
        <v>6</v>
      </c>
      <c r="B335" s="20">
        <f>Table_supermarket_sales___Sheet1[[#This Row],[Cost Price]]+Table57[[#This Row],[Markup Cost]]</f>
        <v>25.827999999999999</v>
      </c>
      <c r="C335">
        <v>2</v>
      </c>
      <c r="D335" s="21">
        <f>Table4[[#This Row],[Selling Price]]-Table_supermarket_sales___Sheet1[[#This Row],[Cost Price]]</f>
        <v>2.347999999999999</v>
      </c>
    </row>
    <row r="336" spans="1:4" x14ac:dyDescent="0.35">
      <c r="A336" t="s">
        <v>2</v>
      </c>
      <c r="B336" s="20">
        <f>Table_supermarket_sales___Sheet1[[#This Row],[Cost Price]]+Table57[[#This Row],[Markup Cost]]</f>
        <v>18.375</v>
      </c>
      <c r="C336">
        <v>3</v>
      </c>
      <c r="D336" s="21">
        <f>Table4[[#This Row],[Selling Price]]-Table_supermarket_sales___Sheet1[[#This Row],[Cost Price]]</f>
        <v>3.6750000000000007</v>
      </c>
    </row>
    <row r="337" spans="1:4" x14ac:dyDescent="0.35">
      <c r="A337" t="s">
        <v>5</v>
      </c>
      <c r="B337" s="20">
        <f>Table_supermarket_sales___Sheet1[[#This Row],[Cost Price]]+Table57[[#This Row],[Markup Cost]]</f>
        <v>35.5625</v>
      </c>
      <c r="C337">
        <v>10</v>
      </c>
      <c r="D337" s="21">
        <f>Table4[[#This Row],[Selling Price]]-Table_supermarket_sales___Sheet1[[#This Row],[Cost Price]]</f>
        <v>7.1125000000000007</v>
      </c>
    </row>
    <row r="338" spans="1:4" x14ac:dyDescent="0.35">
      <c r="A338" t="s">
        <v>6</v>
      </c>
      <c r="B338" s="20">
        <f>Table_supermarket_sales___Sheet1[[#This Row],[Cost Price]]+Table57[[#This Row],[Markup Cost]]</f>
        <v>110.78</v>
      </c>
      <c r="C338">
        <v>4</v>
      </c>
      <c r="D338" s="21">
        <f>Table4[[#This Row],[Selling Price]]-Table_supermarket_sales___Sheet1[[#This Row],[Cost Price]]</f>
        <v>34.379999999999995</v>
      </c>
    </row>
    <row r="339" spans="1:4" x14ac:dyDescent="0.35">
      <c r="A339" t="s">
        <v>2</v>
      </c>
      <c r="B339" s="20">
        <f>Table_supermarket_sales___Sheet1[[#This Row],[Cost Price]]+Table57[[#This Row],[Markup Cost]]</f>
        <v>75.335000000000008</v>
      </c>
      <c r="C339">
        <v>10</v>
      </c>
      <c r="D339" s="21">
        <f>Table4[[#This Row],[Selling Price]]-Table_supermarket_sales___Sheet1[[#This Row],[Cost Price]]</f>
        <v>17.385000000000005</v>
      </c>
    </row>
    <row r="340" spans="1:4" x14ac:dyDescent="0.35">
      <c r="A340" t="s">
        <v>2</v>
      </c>
      <c r="B340" s="20">
        <f>Table_supermarket_sales___Sheet1[[#This Row],[Cost Price]]+Table57[[#This Row],[Markup Cost]]</f>
        <v>54.797499999999999</v>
      </c>
      <c r="C340">
        <v>4</v>
      </c>
      <c r="D340" s="21">
        <f>Table4[[#This Row],[Selling Price]]-Table_supermarket_sales___Sheet1[[#This Row],[Cost Price]]</f>
        <v>7.1475000000000009</v>
      </c>
    </row>
    <row r="341" spans="1:4" x14ac:dyDescent="0.35">
      <c r="A341" t="s">
        <v>4</v>
      </c>
      <c r="B341" s="20">
        <f>Table_supermarket_sales___Sheet1[[#This Row],[Cost Price]]+Table57[[#This Row],[Markup Cost]]</f>
        <v>62.088999999999999</v>
      </c>
      <c r="C341">
        <v>7</v>
      </c>
      <c r="D341" s="21">
        <f>Table4[[#This Row],[Selling Price]]-Table_supermarket_sales___Sheet1[[#This Row],[Cost Price]]</f>
        <v>19.268999999999998</v>
      </c>
    </row>
    <row r="342" spans="1:4" x14ac:dyDescent="0.35">
      <c r="A342" t="s">
        <v>1</v>
      </c>
      <c r="B342" s="20">
        <f>Table_supermarket_sales___Sheet1[[#This Row],[Cost Price]]+Table57[[#This Row],[Markup Cost]]</f>
        <v>55.3035</v>
      </c>
      <c r="C342">
        <v>6</v>
      </c>
      <c r="D342" s="21">
        <f>Table4[[#This Row],[Selling Price]]-Table_supermarket_sales___Sheet1[[#This Row],[Cost Price]]</f>
        <v>7.2134999999999962</v>
      </c>
    </row>
    <row r="343" spans="1:4" x14ac:dyDescent="0.35">
      <c r="A343" t="s">
        <v>1</v>
      </c>
      <c r="B343" s="20">
        <f>Table_supermarket_sales___Sheet1[[#This Row],[Cost Price]]+Table57[[#This Row],[Markup Cost]]</f>
        <v>75.5595</v>
      </c>
      <c r="C343">
        <v>7</v>
      </c>
      <c r="D343" s="21">
        <f>Table4[[#This Row],[Selling Price]]-Table_supermarket_sales___Sheet1[[#This Row],[Cost Price]]</f>
        <v>19.589500000000001</v>
      </c>
    </row>
    <row r="344" spans="1:4" x14ac:dyDescent="0.35">
      <c r="A344" t="s">
        <v>5</v>
      </c>
      <c r="B344" s="20">
        <f>Table_supermarket_sales___Sheet1[[#This Row],[Cost Price]]+Table57[[#This Row],[Markup Cost]]</f>
        <v>103.815</v>
      </c>
      <c r="C344">
        <v>10</v>
      </c>
      <c r="D344" s="21">
        <f>Table4[[#This Row],[Selling Price]]-Table_supermarket_sales___Sheet1[[#This Row],[Cost Price]]</f>
        <v>26.914999999999992</v>
      </c>
    </row>
    <row r="345" spans="1:4" x14ac:dyDescent="0.35">
      <c r="A345" t="s">
        <v>3</v>
      </c>
      <c r="B345" s="20">
        <f>Table_supermarket_sales___Sheet1[[#This Row],[Cost Price]]+Table57[[#This Row],[Markup Cost]]</f>
        <v>121.28749999999999</v>
      </c>
      <c r="C345">
        <v>8</v>
      </c>
      <c r="D345" s="21">
        <f>Table4[[#This Row],[Selling Price]]-Table_supermarket_sales___Sheet1[[#This Row],[Cost Price]]</f>
        <v>24.257499999999993</v>
      </c>
    </row>
    <row r="346" spans="1:4" x14ac:dyDescent="0.35">
      <c r="A346" t="s">
        <v>2</v>
      </c>
      <c r="B346" s="20">
        <f>Table_supermarket_sales___Sheet1[[#This Row],[Cost Price]]+Table57[[#This Row],[Markup Cost]]</f>
        <v>51.347499999999997</v>
      </c>
      <c r="C346">
        <v>7</v>
      </c>
      <c r="D346" s="21">
        <f>Table4[[#This Row],[Selling Price]]-Table_supermarket_sales___Sheet1[[#This Row],[Cost Price]]</f>
        <v>6.697499999999998</v>
      </c>
    </row>
    <row r="347" spans="1:4" x14ac:dyDescent="0.35">
      <c r="A347" t="s">
        <v>3</v>
      </c>
      <c r="B347" s="20">
        <f>Table_supermarket_sales___Sheet1[[#This Row],[Cost Price]]+Table57[[#This Row],[Markup Cost]]</f>
        <v>112.99850000000001</v>
      </c>
      <c r="C347">
        <v>1</v>
      </c>
      <c r="D347" s="21">
        <f>Table4[[#This Row],[Selling Price]]-Table_supermarket_sales___Sheet1[[#This Row],[Cost Price]]</f>
        <v>35.0685</v>
      </c>
    </row>
    <row r="348" spans="1:4" x14ac:dyDescent="0.35">
      <c r="A348" t="s">
        <v>4</v>
      </c>
      <c r="B348" s="20">
        <f>Table_supermarket_sales___Sheet1[[#This Row],[Cost Price]]+Table57[[#This Row],[Markup Cost]]</f>
        <v>75.547499999999999</v>
      </c>
      <c r="C348">
        <v>9</v>
      </c>
      <c r="D348" s="21">
        <f>Table4[[#This Row],[Selling Price]]-Table_supermarket_sales___Sheet1[[#This Row],[Cost Price]]</f>
        <v>3.5974999999999966</v>
      </c>
    </row>
    <row r="349" spans="1:4" x14ac:dyDescent="0.35">
      <c r="A349" t="s">
        <v>4</v>
      </c>
      <c r="B349" s="20">
        <f>Table_supermarket_sales___Sheet1[[#This Row],[Cost Price]]+Table57[[#This Row],[Markup Cost]]</f>
        <v>124.95</v>
      </c>
      <c r="C349">
        <v>10</v>
      </c>
      <c r="D349" s="21">
        <f>Table4[[#This Row],[Selling Price]]-Table_supermarket_sales___Sheet1[[#This Row],[Cost Price]]</f>
        <v>35.700000000000003</v>
      </c>
    </row>
    <row r="350" spans="1:4" x14ac:dyDescent="0.35">
      <c r="A350" t="s">
        <v>6</v>
      </c>
      <c r="B350" s="20">
        <f>Table_supermarket_sales___Sheet1[[#This Row],[Cost Price]]+Table57[[#This Row],[Markup Cost]]</f>
        <v>35.126999999999995</v>
      </c>
      <c r="C350">
        <v>1</v>
      </c>
      <c r="D350" s="21">
        <f>Table4[[#This Row],[Selling Price]]-Table_supermarket_sales___Sheet1[[#This Row],[Cost Price]]</f>
        <v>9.1069999999999958</v>
      </c>
    </row>
    <row r="351" spans="1:4" x14ac:dyDescent="0.35">
      <c r="A351" t="s">
        <v>3</v>
      </c>
      <c r="B351" s="20">
        <f>Table_supermarket_sales___Sheet1[[#This Row],[Cost Price]]+Table57[[#This Row],[Markup Cost]]</f>
        <v>20.25</v>
      </c>
      <c r="C351">
        <v>9</v>
      </c>
      <c r="D351" s="21">
        <f>Table4[[#This Row],[Selling Price]]-Table_supermarket_sales___Sheet1[[#This Row],[Cost Price]]</f>
        <v>6.75</v>
      </c>
    </row>
    <row r="352" spans="1:4" x14ac:dyDescent="0.35">
      <c r="A352" t="s">
        <v>4</v>
      </c>
      <c r="B352" s="20">
        <f>Table_supermarket_sales___Sheet1[[#This Row],[Cost Price]]+Table57[[#This Row],[Markup Cost]]</f>
        <v>148.94999999999999</v>
      </c>
      <c r="C352">
        <v>2</v>
      </c>
      <c r="D352" s="21">
        <f>Table4[[#This Row],[Selling Price]]-Table_supermarket_sales___Sheet1[[#This Row],[Cost Price]]</f>
        <v>49.649999999999991</v>
      </c>
    </row>
    <row r="353" spans="1:4" x14ac:dyDescent="0.35">
      <c r="A353" t="s">
        <v>2</v>
      </c>
      <c r="B353" s="20">
        <f>Table_supermarket_sales___Sheet1[[#This Row],[Cost Price]]+Table57[[#This Row],[Markup Cost]]</f>
        <v>69.781499999999994</v>
      </c>
      <c r="C353">
        <v>1</v>
      </c>
      <c r="D353" s="21">
        <f>Table4[[#This Row],[Selling Price]]-Table_supermarket_sales___Sheet1[[#This Row],[Cost Price]]</f>
        <v>18.091499999999996</v>
      </c>
    </row>
    <row r="354" spans="1:4" x14ac:dyDescent="0.35">
      <c r="A354" t="s">
        <v>5</v>
      </c>
      <c r="B354" s="20">
        <f>Table_supermarket_sales___Sheet1[[#This Row],[Cost Price]]+Table57[[#This Row],[Markup Cost]]</f>
        <v>73.885499999999993</v>
      </c>
      <c r="C354">
        <v>1</v>
      </c>
      <c r="D354" s="21">
        <f>Table4[[#This Row],[Selling Price]]-Table_supermarket_sales___Sheet1[[#This Row],[Cost Price]]</f>
        <v>19.155499999999996</v>
      </c>
    </row>
    <row r="355" spans="1:4" x14ac:dyDescent="0.35">
      <c r="A355" t="s">
        <v>5</v>
      </c>
      <c r="B355" s="20">
        <f>Table_supermarket_sales___Sheet1[[#This Row],[Cost Price]]+Table57[[#This Row],[Markup Cost]]</f>
        <v>39.15</v>
      </c>
      <c r="C355">
        <v>10</v>
      </c>
      <c r="D355" s="21">
        <f>Table4[[#This Row],[Selling Price]]-Table_supermarket_sales___Sheet1[[#This Row],[Cost Price]]</f>
        <v>12.149999999999999</v>
      </c>
    </row>
    <row r="356" spans="1:4" x14ac:dyDescent="0.35">
      <c r="A356" t="s">
        <v>6</v>
      </c>
      <c r="B356" s="20">
        <f>Table_supermarket_sales___Sheet1[[#This Row],[Cost Price]]+Table57[[#This Row],[Markup Cost]]</f>
        <v>31.751999999999999</v>
      </c>
      <c r="C356">
        <v>6</v>
      </c>
      <c r="D356" s="21">
        <f>Table4[[#This Row],[Selling Price]]-Table_supermarket_sales___Sheet1[[#This Row],[Cost Price]]</f>
        <v>1.5120000000000005</v>
      </c>
    </row>
    <row r="357" spans="1:4" x14ac:dyDescent="0.35">
      <c r="A357" t="s">
        <v>6</v>
      </c>
      <c r="B357" s="20">
        <f>Table_supermarket_sales___Sheet1[[#This Row],[Cost Price]]+Table57[[#This Row],[Markup Cost]]</f>
        <v>106.968</v>
      </c>
      <c r="C357">
        <v>10</v>
      </c>
      <c r="D357" s="21">
        <f>Table4[[#This Row],[Selling Price]]-Table_supermarket_sales___Sheet1[[#This Row],[Cost Price]]</f>
        <v>17.828000000000003</v>
      </c>
    </row>
    <row r="358" spans="1:4" x14ac:dyDescent="0.35">
      <c r="A358" t="s">
        <v>3</v>
      </c>
      <c r="B358" s="20">
        <f>Table_supermarket_sales___Sheet1[[#This Row],[Cost Price]]+Table57[[#This Row],[Markup Cost]]</f>
        <v>56.324999999999996</v>
      </c>
      <c r="C358">
        <v>10</v>
      </c>
      <c r="D358" s="21">
        <f>Table4[[#This Row],[Selling Price]]-Table_supermarket_sales___Sheet1[[#This Row],[Cost Price]]</f>
        <v>18.774999999999999</v>
      </c>
    </row>
    <row r="359" spans="1:4" x14ac:dyDescent="0.35">
      <c r="A359" t="s">
        <v>6</v>
      </c>
      <c r="B359" s="20">
        <f>Table_supermarket_sales___Sheet1[[#This Row],[Cost Price]]+Table57[[#This Row],[Markup Cost]]</f>
        <v>143.16</v>
      </c>
      <c r="C359">
        <v>10</v>
      </c>
      <c r="D359" s="21">
        <f>Table4[[#This Row],[Selling Price]]-Table_supermarket_sales___Sheet1[[#This Row],[Cost Price]]</f>
        <v>47.72</v>
      </c>
    </row>
    <row r="360" spans="1:4" x14ac:dyDescent="0.35">
      <c r="A360" t="s">
        <v>3</v>
      </c>
      <c r="B360" s="20">
        <f>Table_supermarket_sales___Sheet1[[#This Row],[Cost Price]]+Table57[[#This Row],[Markup Cost]]</f>
        <v>31.625</v>
      </c>
      <c r="C360">
        <v>9</v>
      </c>
      <c r="D360" s="21">
        <f>Table4[[#This Row],[Selling Price]]-Table_supermarket_sales___Sheet1[[#This Row],[Cost Price]]</f>
        <v>4.125</v>
      </c>
    </row>
    <row r="361" spans="1:4" x14ac:dyDescent="0.35">
      <c r="A361" t="s">
        <v>6</v>
      </c>
      <c r="B361" s="20">
        <f>Table_supermarket_sales___Sheet1[[#This Row],[Cost Price]]+Table57[[#This Row],[Markup Cost]]</f>
        <v>78.718500000000006</v>
      </c>
      <c r="C361">
        <v>1</v>
      </c>
      <c r="D361" s="21">
        <f>Table4[[#This Row],[Selling Price]]-Table_supermarket_sales___Sheet1[[#This Row],[Cost Price]]</f>
        <v>3.748500000000007</v>
      </c>
    </row>
    <row r="362" spans="1:4" x14ac:dyDescent="0.35">
      <c r="A362" t="s">
        <v>6</v>
      </c>
      <c r="B362" s="20">
        <f>Table_supermarket_sales___Sheet1[[#This Row],[Cost Price]]+Table57[[#This Row],[Markup Cost]]</f>
        <v>113.34399999999999</v>
      </c>
      <c r="C362">
        <v>9</v>
      </c>
      <c r="D362" s="21">
        <f>Table4[[#This Row],[Selling Price]]-Table_supermarket_sales___Sheet1[[#This Row],[Cost Price]]</f>
        <v>32.384</v>
      </c>
    </row>
    <row r="363" spans="1:4" x14ac:dyDescent="0.35">
      <c r="A363" t="s">
        <v>3</v>
      </c>
      <c r="B363" s="20">
        <f>Table_supermarket_sales___Sheet1[[#This Row],[Cost Price]]+Table57[[#This Row],[Markup Cost]]</f>
        <v>132.25799999999998</v>
      </c>
      <c r="C363">
        <v>8</v>
      </c>
      <c r="D363" s="21">
        <f>Table4[[#This Row],[Selling Price]]-Table_supermarket_sales___Sheet1[[#This Row],[Cost Price]]</f>
        <v>37.787999999999982</v>
      </c>
    </row>
    <row r="364" spans="1:4" x14ac:dyDescent="0.35">
      <c r="A364" t="s">
        <v>1</v>
      </c>
      <c r="B364" s="20">
        <f>Table_supermarket_sales___Sheet1[[#This Row],[Cost Price]]+Table57[[#This Row],[Markup Cost]]</f>
        <v>109.76900000000001</v>
      </c>
      <c r="C364">
        <v>1</v>
      </c>
      <c r="D364" s="21">
        <f>Table4[[#This Row],[Selling Price]]-Table_supermarket_sales___Sheet1[[#This Row],[Cost Price]]</f>
        <v>9.9789999999999992</v>
      </c>
    </row>
    <row r="365" spans="1:4" x14ac:dyDescent="0.35">
      <c r="A365" t="s">
        <v>4</v>
      </c>
      <c r="B365" s="20">
        <f>Table_supermarket_sales___Sheet1[[#This Row],[Cost Price]]+Table57[[#This Row],[Markup Cost]]</f>
        <v>95.186000000000007</v>
      </c>
      <c r="C365">
        <v>10</v>
      </c>
      <c r="D365" s="21">
        <f>Table4[[#This Row],[Selling Price]]-Table_supermarket_sales___Sheet1[[#This Row],[Cost Price]]</f>
        <v>21.966000000000008</v>
      </c>
    </row>
    <row r="366" spans="1:4" x14ac:dyDescent="0.35">
      <c r="A366" t="s">
        <v>2</v>
      </c>
      <c r="B366" s="20">
        <f>Table_supermarket_sales___Sheet1[[#This Row],[Cost Price]]+Table57[[#This Row],[Markup Cost]]</f>
        <v>49.488</v>
      </c>
      <c r="C366">
        <v>5</v>
      </c>
      <c r="D366" s="21">
        <f>Table4[[#This Row],[Selling Price]]-Table_supermarket_sales___Sheet1[[#This Row],[Cost Price]]</f>
        <v>8.2479999999999976</v>
      </c>
    </row>
    <row r="367" spans="1:4" x14ac:dyDescent="0.35">
      <c r="A367" t="s">
        <v>1</v>
      </c>
      <c r="B367" s="20">
        <f>Table_supermarket_sales___Sheet1[[#This Row],[Cost Price]]+Table57[[#This Row],[Markup Cost]]</f>
        <v>98.016000000000005</v>
      </c>
      <c r="C367">
        <v>10</v>
      </c>
      <c r="D367" s="21">
        <f>Table4[[#This Row],[Selling Price]]-Table_supermarket_sales___Sheet1[[#This Row],[Cost Price]]</f>
        <v>16.335999999999999</v>
      </c>
    </row>
    <row r="368" spans="1:4" x14ac:dyDescent="0.35">
      <c r="A368" t="s">
        <v>5</v>
      </c>
      <c r="B368" s="20">
        <f>Table_supermarket_sales___Sheet1[[#This Row],[Cost Price]]+Table57[[#This Row],[Markup Cost]]</f>
        <v>74.414000000000001</v>
      </c>
      <c r="C368">
        <v>2</v>
      </c>
      <c r="D368" s="21">
        <f>Table4[[#This Row],[Selling Price]]-Table_supermarket_sales___Sheet1[[#This Row],[Cost Price]]</f>
        <v>23.094000000000001</v>
      </c>
    </row>
    <row r="369" spans="1:4" x14ac:dyDescent="0.35">
      <c r="A369" t="s">
        <v>2</v>
      </c>
      <c r="B369" s="20">
        <f>Table_supermarket_sales___Sheet1[[#This Row],[Cost Price]]+Table57[[#This Row],[Markup Cost]]</f>
        <v>79.128</v>
      </c>
      <c r="C369">
        <v>9</v>
      </c>
      <c r="D369" s="21">
        <f>Table4[[#This Row],[Selling Price]]-Table_supermarket_sales___Sheet1[[#This Row],[Cost Price]]</f>
        <v>13.188000000000002</v>
      </c>
    </row>
    <row r="370" spans="1:4" x14ac:dyDescent="0.35">
      <c r="A370" t="s">
        <v>3</v>
      </c>
      <c r="B370" s="20">
        <f>Table_supermarket_sales___Sheet1[[#This Row],[Cost Price]]+Table57[[#This Row],[Markup Cost]]</f>
        <v>21.54</v>
      </c>
      <c r="C370">
        <v>1</v>
      </c>
      <c r="D370" s="21">
        <f>Table4[[#This Row],[Selling Price]]-Table_supermarket_sales___Sheet1[[#This Row],[Cost Price]]</f>
        <v>7.18</v>
      </c>
    </row>
    <row r="371" spans="1:4" x14ac:dyDescent="0.35">
      <c r="A371" t="s">
        <v>3</v>
      </c>
      <c r="B371" s="20">
        <f>Table_supermarket_sales___Sheet1[[#This Row],[Cost Price]]+Table57[[#This Row],[Markup Cost]]</f>
        <v>31.175000000000001</v>
      </c>
      <c r="C371">
        <v>4</v>
      </c>
      <c r="D371" s="21">
        <f>Table4[[#This Row],[Selling Price]]-Table_supermarket_sales___Sheet1[[#This Row],[Cost Price]]</f>
        <v>9.6750000000000007</v>
      </c>
    </row>
    <row r="372" spans="1:4" x14ac:dyDescent="0.35">
      <c r="A372" t="s">
        <v>6</v>
      </c>
      <c r="B372" s="20">
        <f>Table_supermarket_sales___Sheet1[[#This Row],[Cost Price]]+Table57[[#This Row],[Markup Cost]]</f>
        <v>35.451000000000001</v>
      </c>
      <c r="C372">
        <v>7</v>
      </c>
      <c r="D372" s="21">
        <f>Table4[[#This Row],[Selling Price]]-Table_supermarket_sales___Sheet1[[#This Row],[Cost Price]]</f>
        <v>9.1909999999999989</v>
      </c>
    </row>
    <row r="373" spans="1:4" x14ac:dyDescent="0.35">
      <c r="A373" t="s">
        <v>1</v>
      </c>
      <c r="B373" s="20">
        <f>Table_supermarket_sales___Sheet1[[#This Row],[Cost Price]]+Table57[[#This Row],[Markup Cost]]</f>
        <v>67.055999999999997</v>
      </c>
      <c r="C373">
        <v>8</v>
      </c>
      <c r="D373" s="21">
        <f>Table4[[#This Row],[Selling Price]]-Table_supermarket_sales___Sheet1[[#This Row],[Cost Price]]</f>
        <v>6.0959999999999965</v>
      </c>
    </row>
    <row r="374" spans="1:4" x14ac:dyDescent="0.35">
      <c r="A374" t="s">
        <v>2</v>
      </c>
      <c r="B374" s="20">
        <f>Table_supermarket_sales___Sheet1[[#This Row],[Cost Price]]+Table57[[#This Row],[Markup Cost]]</f>
        <v>91.143000000000001</v>
      </c>
      <c r="C374">
        <v>9</v>
      </c>
      <c r="D374" s="21">
        <f>Table4[[#This Row],[Selling Price]]-Table_supermarket_sales___Sheet1[[#This Row],[Cost Price]]</f>
        <v>21.033000000000001</v>
      </c>
    </row>
    <row r="375" spans="1:4" x14ac:dyDescent="0.35">
      <c r="A375" t="s">
        <v>5</v>
      </c>
      <c r="B375" s="20">
        <f>Table_supermarket_sales___Sheet1[[#This Row],[Cost Price]]+Table57[[#This Row],[Markup Cost]]</f>
        <v>54.704000000000001</v>
      </c>
      <c r="C375">
        <v>7</v>
      </c>
      <c r="D375" s="21">
        <f>Table4[[#This Row],[Selling Price]]-Table_supermarket_sales___Sheet1[[#This Row],[Cost Price]]</f>
        <v>12.624000000000002</v>
      </c>
    </row>
    <row r="376" spans="1:4" x14ac:dyDescent="0.35">
      <c r="A376" t="s">
        <v>3</v>
      </c>
      <c r="B376" s="20">
        <f>Table_supermarket_sales___Sheet1[[#This Row],[Cost Price]]+Table57[[#This Row],[Markup Cost]]</f>
        <v>83.862500000000011</v>
      </c>
      <c r="C376">
        <v>5</v>
      </c>
      <c r="D376" s="21">
        <f>Table4[[#This Row],[Selling Price]]-Table_supermarket_sales___Sheet1[[#This Row],[Cost Price]]</f>
        <v>16.772500000000008</v>
      </c>
    </row>
    <row r="377" spans="1:4" x14ac:dyDescent="0.35">
      <c r="A377" t="s">
        <v>4</v>
      </c>
      <c r="B377" s="20">
        <f>Table_supermarket_sales___Sheet1[[#This Row],[Cost Price]]+Table57[[#This Row],[Markup Cost]]</f>
        <v>120.875</v>
      </c>
      <c r="C377">
        <v>5</v>
      </c>
      <c r="D377" s="21">
        <f>Table4[[#This Row],[Selling Price]]-Table_supermarket_sales___Sheet1[[#This Row],[Cost Price]]</f>
        <v>24.174999999999997</v>
      </c>
    </row>
    <row r="378" spans="1:4" x14ac:dyDescent="0.35">
      <c r="A378" t="s">
        <v>6</v>
      </c>
      <c r="B378" s="20">
        <f>Table_supermarket_sales___Sheet1[[#This Row],[Cost Price]]+Table57[[#This Row],[Markup Cost]]</f>
        <v>51.301000000000002</v>
      </c>
      <c r="C378">
        <v>10</v>
      </c>
      <c r="D378" s="21">
        <f>Table4[[#This Row],[Selling Price]]-Table_supermarket_sales___Sheet1[[#This Row],[Cost Price]]</f>
        <v>15.920999999999999</v>
      </c>
    </row>
    <row r="379" spans="1:4" x14ac:dyDescent="0.35">
      <c r="A379" t="s">
        <v>5</v>
      </c>
      <c r="B379" s="20">
        <f>Table_supermarket_sales___Sheet1[[#This Row],[Cost Price]]+Table57[[#This Row],[Markup Cost]]</f>
        <v>128.91149999999999</v>
      </c>
      <c r="C379">
        <v>2</v>
      </c>
      <c r="D379" s="21">
        <f>Table4[[#This Row],[Selling Price]]-Table_supermarket_sales___Sheet1[[#This Row],[Cost Price]]</f>
        <v>33.421499999999995</v>
      </c>
    </row>
    <row r="380" spans="1:4" x14ac:dyDescent="0.35">
      <c r="A380" t="s">
        <v>5</v>
      </c>
      <c r="B380" s="20">
        <f>Table_supermarket_sales___Sheet1[[#This Row],[Cost Price]]+Table57[[#This Row],[Markup Cost]]</f>
        <v>116.376</v>
      </c>
      <c r="C380">
        <v>3</v>
      </c>
      <c r="D380" s="21">
        <f>Table4[[#This Row],[Selling Price]]-Table_supermarket_sales___Sheet1[[#This Row],[Cost Price]]</f>
        <v>19.396000000000001</v>
      </c>
    </row>
    <row r="381" spans="1:4" x14ac:dyDescent="0.35">
      <c r="A381" t="s">
        <v>5</v>
      </c>
      <c r="B381" s="20">
        <f>Table_supermarket_sales___Sheet1[[#This Row],[Cost Price]]+Table57[[#This Row],[Markup Cost]]</f>
        <v>28.38</v>
      </c>
      <c r="C381">
        <v>7</v>
      </c>
      <c r="D381" s="21">
        <f>Table4[[#This Row],[Selling Price]]-Table_supermarket_sales___Sheet1[[#This Row],[Cost Price]]</f>
        <v>4.7300000000000004</v>
      </c>
    </row>
    <row r="382" spans="1:4" x14ac:dyDescent="0.35">
      <c r="A382" t="s">
        <v>5</v>
      </c>
      <c r="B382" s="20">
        <f>Table_supermarket_sales___Sheet1[[#This Row],[Cost Price]]+Table57[[#This Row],[Markup Cost]]</f>
        <v>98.795999999999992</v>
      </c>
      <c r="C382">
        <v>3</v>
      </c>
      <c r="D382" s="21">
        <f>Table4[[#This Row],[Selling Price]]-Table_supermarket_sales___Sheet1[[#This Row],[Cost Price]]</f>
        <v>16.465999999999994</v>
      </c>
    </row>
    <row r="383" spans="1:4" x14ac:dyDescent="0.35">
      <c r="A383" t="s">
        <v>3</v>
      </c>
      <c r="B383" s="20">
        <f>Table_supermarket_sales___Sheet1[[#This Row],[Cost Price]]+Table57[[#This Row],[Markup Cost]]</f>
        <v>29.271000000000001</v>
      </c>
      <c r="C383">
        <v>7</v>
      </c>
      <c r="D383" s="21">
        <f>Table4[[#This Row],[Selling Price]]-Table_supermarket_sales___Sheet1[[#This Row],[Cost Price]]</f>
        <v>2.6610000000000014</v>
      </c>
    </row>
    <row r="384" spans="1:4" x14ac:dyDescent="0.35">
      <c r="A384" t="s">
        <v>5</v>
      </c>
      <c r="B384" s="20">
        <f>Table_supermarket_sales___Sheet1[[#This Row],[Cost Price]]+Table57[[#This Row],[Markup Cost]]</f>
        <v>124.6125</v>
      </c>
      <c r="C384">
        <v>5</v>
      </c>
      <c r="D384" s="21">
        <f>Table4[[#This Row],[Selling Price]]-Table_supermarket_sales___Sheet1[[#This Row],[Cost Price]]</f>
        <v>24.922499999999999</v>
      </c>
    </row>
    <row r="385" spans="1:4" x14ac:dyDescent="0.35">
      <c r="A385" t="s">
        <v>3</v>
      </c>
      <c r="B385" s="20">
        <f>Table_supermarket_sales___Sheet1[[#This Row],[Cost Price]]+Table57[[#This Row],[Markup Cost]]</f>
        <v>89.867999999999995</v>
      </c>
      <c r="C385">
        <v>7</v>
      </c>
      <c r="D385" s="21">
        <f>Table4[[#This Row],[Selling Price]]-Table_supermarket_sales___Sheet1[[#This Row],[Cost Price]]</f>
        <v>14.977999999999994</v>
      </c>
    </row>
    <row r="386" spans="1:4" x14ac:dyDescent="0.35">
      <c r="A386" t="s">
        <v>1</v>
      </c>
      <c r="B386" s="20">
        <f>Table_supermarket_sales___Sheet1[[#This Row],[Cost Price]]+Table57[[#This Row],[Markup Cost]]</f>
        <v>51.174999999999997</v>
      </c>
      <c r="C386">
        <v>2</v>
      </c>
      <c r="D386" s="21">
        <f>Table4[[#This Row],[Selling Price]]-Table_supermarket_sales___Sheet1[[#This Row],[Cost Price]]</f>
        <v>10.234999999999999</v>
      </c>
    </row>
    <row r="387" spans="1:4" x14ac:dyDescent="0.35">
      <c r="A387" t="s">
        <v>4</v>
      </c>
      <c r="B387" s="20">
        <f>Table_supermarket_sales___Sheet1[[#This Row],[Cost Price]]+Table57[[#This Row],[Markup Cost]]</f>
        <v>79.61099999999999</v>
      </c>
      <c r="C387">
        <v>5</v>
      </c>
      <c r="D387" s="21">
        <f>Table4[[#This Row],[Selling Price]]-Table_supermarket_sales___Sheet1[[#This Row],[Cost Price]]</f>
        <v>3.7909999999999968</v>
      </c>
    </row>
    <row r="388" spans="1:4" x14ac:dyDescent="0.35">
      <c r="A388" t="s">
        <v>3</v>
      </c>
      <c r="B388" s="20">
        <f>Table_supermarket_sales___Sheet1[[#This Row],[Cost Price]]+Table57[[#This Row],[Markup Cost]]</f>
        <v>60.801000000000002</v>
      </c>
      <c r="C388">
        <v>8</v>
      </c>
      <c r="D388" s="21">
        <f>Table4[[#This Row],[Selling Price]]-Table_supermarket_sales___Sheet1[[#This Row],[Cost Price]]</f>
        <v>14.030999999999999</v>
      </c>
    </row>
    <row r="389" spans="1:4" x14ac:dyDescent="0.35">
      <c r="A389" t="s">
        <v>6</v>
      </c>
      <c r="B389" s="20">
        <f>Table_supermarket_sales___Sheet1[[#This Row],[Cost Price]]+Table57[[#This Row],[Markup Cost]]</f>
        <v>48.480000000000004</v>
      </c>
      <c r="C389">
        <v>8</v>
      </c>
      <c r="D389" s="21">
        <f>Table4[[#This Row],[Selling Price]]-Table_supermarket_sales___Sheet1[[#This Row],[Cost Price]]</f>
        <v>16.160000000000004</v>
      </c>
    </row>
    <row r="390" spans="1:4" x14ac:dyDescent="0.35">
      <c r="A390" t="s">
        <v>2</v>
      </c>
      <c r="B390" s="20">
        <f>Table_supermarket_sales___Sheet1[[#This Row],[Cost Price]]+Table57[[#This Row],[Markup Cost]]</f>
        <v>78.401499999999999</v>
      </c>
      <c r="C390">
        <v>2</v>
      </c>
      <c r="D390" s="21">
        <f>Table4[[#This Row],[Selling Price]]-Table_supermarket_sales___Sheet1[[#This Row],[Cost Price]]</f>
        <v>24.331499999999998</v>
      </c>
    </row>
    <row r="391" spans="1:4" x14ac:dyDescent="0.35">
      <c r="A391" t="s">
        <v>1</v>
      </c>
      <c r="B391" s="20">
        <f>Table_supermarket_sales___Sheet1[[#This Row],[Cost Price]]+Table57[[#This Row],[Markup Cost]]</f>
        <v>24.596999999999998</v>
      </c>
      <c r="C391">
        <v>5</v>
      </c>
      <c r="D391" s="21">
        <f>Table4[[#This Row],[Selling Price]]-Table_supermarket_sales___Sheet1[[#This Row],[Cost Price]]</f>
        <v>6.3769999999999989</v>
      </c>
    </row>
    <row r="392" spans="1:4" x14ac:dyDescent="0.35">
      <c r="A392" t="s">
        <v>4</v>
      </c>
      <c r="B392" s="20">
        <f>Table_supermarket_sales___Sheet1[[#This Row],[Cost Price]]+Table57[[#This Row],[Markup Cost]]</f>
        <v>92.552000000000007</v>
      </c>
      <c r="C392">
        <v>4</v>
      </c>
      <c r="D392" s="21">
        <f>Table4[[#This Row],[Selling Price]]-Table_supermarket_sales___Sheet1[[#This Row],[Cost Price]]</f>
        <v>12.072000000000003</v>
      </c>
    </row>
    <row r="393" spans="1:4" x14ac:dyDescent="0.35">
      <c r="A393" t="s">
        <v>2</v>
      </c>
      <c r="B393" s="20">
        <f>Table_supermarket_sales___Sheet1[[#This Row],[Cost Price]]+Table57[[#This Row],[Markup Cost]]</f>
        <v>56.925000000000004</v>
      </c>
      <c r="C393">
        <v>5</v>
      </c>
      <c r="D393" s="21">
        <f>Table4[[#This Row],[Selling Price]]-Table_supermarket_sales___Sheet1[[#This Row],[Cost Price]]</f>
        <v>18.975000000000001</v>
      </c>
    </row>
    <row r="394" spans="1:4" x14ac:dyDescent="0.35">
      <c r="A394" t="s">
        <v>6</v>
      </c>
      <c r="B394" s="20">
        <f>Table_supermarket_sales___Sheet1[[#This Row],[Cost Price]]+Table57[[#This Row],[Markup Cost]]</f>
        <v>80.660999999999987</v>
      </c>
      <c r="C394">
        <v>4</v>
      </c>
      <c r="D394" s="21">
        <f>Table4[[#This Row],[Selling Price]]-Table_supermarket_sales___Sheet1[[#This Row],[Cost Price]]</f>
        <v>3.840999999999994</v>
      </c>
    </row>
    <row r="395" spans="1:4" x14ac:dyDescent="0.35">
      <c r="A395" t="s">
        <v>3</v>
      </c>
      <c r="B395" s="20">
        <f>Table_supermarket_sales___Sheet1[[#This Row],[Cost Price]]+Table57[[#This Row],[Markup Cost]]</f>
        <v>78.39</v>
      </c>
      <c r="C395">
        <v>2</v>
      </c>
      <c r="D395" s="21">
        <f>Table4[[#This Row],[Selling Price]]-Table_supermarket_sales___Sheet1[[#This Row],[Cost Price]]</f>
        <v>26.130000000000003</v>
      </c>
    </row>
    <row r="396" spans="1:4" x14ac:dyDescent="0.35">
      <c r="A396" t="s">
        <v>4</v>
      </c>
      <c r="B396" s="20">
        <f>Table_supermarket_sales___Sheet1[[#This Row],[Cost Price]]+Table57[[#This Row],[Markup Cost]]</f>
        <v>83.72699999999999</v>
      </c>
      <c r="C396">
        <v>9</v>
      </c>
      <c r="D396" s="21">
        <f>Table4[[#This Row],[Selling Price]]-Table_supermarket_sales___Sheet1[[#This Row],[Cost Price]]</f>
        <v>3.9869999999999948</v>
      </c>
    </row>
    <row r="397" spans="1:4" x14ac:dyDescent="0.35">
      <c r="A397" t="s">
        <v>3</v>
      </c>
      <c r="B397" s="20">
        <f>Table_supermarket_sales___Sheet1[[#This Row],[Cost Price]]+Table57[[#This Row],[Markup Cost]]</f>
        <v>96.875</v>
      </c>
      <c r="C397">
        <v>4</v>
      </c>
      <c r="D397" s="21">
        <f>Table4[[#This Row],[Selling Price]]-Table_supermarket_sales___Sheet1[[#This Row],[Cost Price]]</f>
        <v>19.375</v>
      </c>
    </row>
    <row r="398" spans="1:4" x14ac:dyDescent="0.35">
      <c r="A398" t="s">
        <v>4</v>
      </c>
      <c r="B398" s="20">
        <f>Table_supermarket_sales___Sheet1[[#This Row],[Cost Price]]+Table57[[#This Row],[Markup Cost]]</f>
        <v>67.837500000000006</v>
      </c>
      <c r="C398">
        <v>1</v>
      </c>
      <c r="D398" s="21">
        <f>Table4[[#This Row],[Selling Price]]-Table_supermarket_sales___Sheet1[[#This Row],[Cost Price]]</f>
        <v>13.567500000000003</v>
      </c>
    </row>
    <row r="399" spans="1:4" x14ac:dyDescent="0.35">
      <c r="A399" t="s">
        <v>2</v>
      </c>
      <c r="B399" s="20">
        <f>Table_supermarket_sales___Sheet1[[#This Row],[Cost Price]]+Table57[[#This Row],[Markup Cost]]</f>
        <v>19.705500000000001</v>
      </c>
      <c r="C399">
        <v>6</v>
      </c>
      <c r="D399" s="21">
        <f>Table4[[#This Row],[Selling Price]]-Table_supermarket_sales___Sheet1[[#This Row],[Cost Price]]</f>
        <v>6.1155000000000008</v>
      </c>
    </row>
    <row r="400" spans="1:4" x14ac:dyDescent="0.35">
      <c r="A400" t="s">
        <v>4</v>
      </c>
      <c r="B400" s="20">
        <f>Table_supermarket_sales___Sheet1[[#This Row],[Cost Price]]+Table57[[#This Row],[Markup Cost]]</f>
        <v>53.378</v>
      </c>
      <c r="C400">
        <v>7</v>
      </c>
      <c r="D400" s="21">
        <f>Table4[[#This Row],[Selling Price]]-Table_supermarket_sales___Sheet1[[#This Row],[Cost Price]]</f>
        <v>12.317999999999998</v>
      </c>
    </row>
    <row r="401" spans="1:4" x14ac:dyDescent="0.35">
      <c r="A401" t="s">
        <v>6</v>
      </c>
      <c r="B401" s="20">
        <f>Table_supermarket_sales___Sheet1[[#This Row],[Cost Price]]+Table57[[#This Row],[Markup Cost]]</f>
        <v>27.897999999999996</v>
      </c>
      <c r="C401">
        <v>8</v>
      </c>
      <c r="D401" s="21">
        <f>Table4[[#This Row],[Selling Price]]-Table_supermarket_sales___Sheet1[[#This Row],[Cost Price]]</f>
        <v>8.6579999999999977</v>
      </c>
    </row>
    <row r="402" spans="1:4" x14ac:dyDescent="0.35">
      <c r="A402" t="s">
        <v>2</v>
      </c>
      <c r="B402" s="20">
        <f>Table_supermarket_sales___Sheet1[[#This Row],[Cost Price]]+Table57[[#This Row],[Markup Cost]]</f>
        <v>51.259</v>
      </c>
      <c r="C402">
        <v>10</v>
      </c>
      <c r="D402" s="21">
        <f>Table4[[#This Row],[Selling Price]]-Table_supermarket_sales___Sheet1[[#This Row],[Cost Price]]</f>
        <v>11.829000000000001</v>
      </c>
    </row>
    <row r="403" spans="1:4" x14ac:dyDescent="0.35">
      <c r="A403" t="s">
        <v>3</v>
      </c>
      <c r="B403" s="20">
        <f>Table_supermarket_sales___Sheet1[[#This Row],[Cost Price]]+Table57[[#This Row],[Markup Cost]]</f>
        <v>55.463999999999999</v>
      </c>
      <c r="C403">
        <v>6</v>
      </c>
      <c r="D403" s="21">
        <f>Table4[[#This Row],[Selling Price]]-Table_supermarket_sales___Sheet1[[#This Row],[Cost Price]]</f>
        <v>9.2439999999999998</v>
      </c>
    </row>
    <row r="404" spans="1:4" x14ac:dyDescent="0.35">
      <c r="A404" t="s">
        <v>2</v>
      </c>
      <c r="B404" s="20">
        <f>Table_supermarket_sales___Sheet1[[#This Row],[Cost Price]]+Table57[[#This Row],[Markup Cost]]</f>
        <v>14.679</v>
      </c>
      <c r="C404">
        <v>1</v>
      </c>
      <c r="D404" s="21">
        <f>Table4[[#This Row],[Selling Price]]-Table_supermarket_sales___Sheet1[[#This Row],[Cost Price]]</f>
        <v>0.69899999999999984</v>
      </c>
    </row>
    <row r="405" spans="1:4" x14ac:dyDescent="0.35">
      <c r="A405" t="s">
        <v>5</v>
      </c>
      <c r="B405" s="20">
        <f>Table_supermarket_sales___Sheet1[[#This Row],[Cost Price]]+Table57[[#This Row],[Markup Cost]]</f>
        <v>49.6875</v>
      </c>
      <c r="C405">
        <v>3</v>
      </c>
      <c r="D405" s="21">
        <f>Table4[[#This Row],[Selling Price]]-Table_supermarket_sales___Sheet1[[#This Row],[Cost Price]]</f>
        <v>9.9375</v>
      </c>
    </row>
    <row r="406" spans="1:4" x14ac:dyDescent="0.35">
      <c r="A406" t="s">
        <v>6</v>
      </c>
      <c r="B406" s="20">
        <f>Table_supermarket_sales___Sheet1[[#This Row],[Cost Price]]+Table57[[#This Row],[Markup Cost]]</f>
        <v>132.01650000000001</v>
      </c>
      <c r="C406">
        <v>1</v>
      </c>
      <c r="D406" s="21">
        <f>Table4[[#This Row],[Selling Price]]-Table_supermarket_sales___Sheet1[[#This Row],[Cost Price]]</f>
        <v>34.226500000000001</v>
      </c>
    </row>
    <row r="407" spans="1:4" x14ac:dyDescent="0.35">
      <c r="A407" t="s">
        <v>2</v>
      </c>
      <c r="B407" s="20">
        <f>Table_supermarket_sales___Sheet1[[#This Row],[Cost Price]]+Table57[[#This Row],[Markup Cost]]</f>
        <v>80.712000000000003</v>
      </c>
      <c r="C407">
        <v>10</v>
      </c>
      <c r="D407" s="21">
        <f>Table4[[#This Row],[Selling Price]]-Table_supermarket_sales___Sheet1[[#This Row],[Cost Price]]</f>
        <v>13.451999999999998</v>
      </c>
    </row>
    <row r="408" spans="1:4" x14ac:dyDescent="0.35">
      <c r="A408" t="s">
        <v>5</v>
      </c>
      <c r="B408" s="20">
        <f>Table_supermarket_sales___Sheet1[[#This Row],[Cost Price]]+Table57[[#This Row],[Markup Cost]]</f>
        <v>17.237499999999997</v>
      </c>
      <c r="C408">
        <v>9</v>
      </c>
      <c r="D408" s="21">
        <f>Table4[[#This Row],[Selling Price]]-Table_supermarket_sales___Sheet1[[#This Row],[Cost Price]]</f>
        <v>3.447499999999998</v>
      </c>
    </row>
    <row r="409" spans="1:4" x14ac:dyDescent="0.35">
      <c r="A409" t="s">
        <v>5</v>
      </c>
      <c r="B409" s="20">
        <f>Table_supermarket_sales___Sheet1[[#This Row],[Cost Price]]+Table57[[#This Row],[Markup Cost]]</f>
        <v>82.451999999999998</v>
      </c>
      <c r="C409">
        <v>7</v>
      </c>
      <c r="D409" s="21">
        <f>Table4[[#This Row],[Selling Price]]-Table_supermarket_sales___Sheet1[[#This Row],[Cost Price]]</f>
        <v>13.742000000000004</v>
      </c>
    </row>
    <row r="410" spans="1:4" x14ac:dyDescent="0.35">
      <c r="A410" t="s">
        <v>5</v>
      </c>
      <c r="B410" s="20">
        <f>Table_supermarket_sales___Sheet1[[#This Row],[Cost Price]]+Table57[[#This Row],[Markup Cost]]</f>
        <v>67.835999999999999</v>
      </c>
      <c r="C410">
        <v>6</v>
      </c>
      <c r="D410" s="21">
        <f>Table4[[#This Row],[Selling Price]]-Table_supermarket_sales___Sheet1[[#This Row],[Cost Price]]</f>
        <v>11.305999999999997</v>
      </c>
    </row>
    <row r="411" spans="1:4" x14ac:dyDescent="0.35">
      <c r="A411" t="s">
        <v>1</v>
      </c>
      <c r="B411" s="20">
        <f>Table_supermarket_sales___Sheet1[[#This Row],[Cost Price]]+Table57[[#This Row],[Markup Cost]]</f>
        <v>29.774999999999999</v>
      </c>
      <c r="C411">
        <v>3</v>
      </c>
      <c r="D411" s="21">
        <f>Table4[[#This Row],[Selling Price]]-Table_supermarket_sales___Sheet1[[#This Row],[Cost Price]]</f>
        <v>5.9549999999999983</v>
      </c>
    </row>
    <row r="412" spans="1:4" x14ac:dyDescent="0.35">
      <c r="A412" t="s">
        <v>6</v>
      </c>
      <c r="B412" s="20">
        <f>Table_supermarket_sales___Sheet1[[#This Row],[Cost Price]]+Table57[[#This Row],[Markup Cost]]</f>
        <v>51.314999999999998</v>
      </c>
      <c r="C412">
        <v>2</v>
      </c>
      <c r="D412" s="21">
        <f>Table4[[#This Row],[Selling Price]]-Table_supermarket_sales___Sheet1[[#This Row],[Cost Price]]</f>
        <v>17.104999999999997</v>
      </c>
    </row>
    <row r="413" spans="1:4" x14ac:dyDescent="0.35">
      <c r="A413" t="s">
        <v>3</v>
      </c>
      <c r="B413" s="20">
        <f>Table_supermarket_sales___Sheet1[[#This Row],[Cost Price]]+Table57[[#This Row],[Markup Cost]]</f>
        <v>24.057000000000002</v>
      </c>
      <c r="C413">
        <v>2</v>
      </c>
      <c r="D413" s="21">
        <f>Table4[[#This Row],[Selling Price]]-Table_supermarket_sales___Sheet1[[#This Row],[Cost Price]]</f>
        <v>2.1870000000000012</v>
      </c>
    </row>
    <row r="414" spans="1:4" x14ac:dyDescent="0.35">
      <c r="A414" t="s">
        <v>5</v>
      </c>
      <c r="B414" s="20">
        <f>Table_supermarket_sales___Sheet1[[#This Row],[Cost Price]]+Table57[[#This Row],[Markup Cost]]</f>
        <v>26.212499999999999</v>
      </c>
      <c r="C414">
        <v>7</v>
      </c>
      <c r="D414" s="21">
        <f>Table4[[#This Row],[Selling Price]]-Table_supermarket_sales___Sheet1[[#This Row],[Cost Price]]</f>
        <v>5.2424999999999997</v>
      </c>
    </row>
    <row r="415" spans="1:4" x14ac:dyDescent="0.35">
      <c r="A415" t="s">
        <v>3</v>
      </c>
      <c r="B415" s="20">
        <f>Table_supermarket_sales___Sheet1[[#This Row],[Cost Price]]+Table57[[#This Row],[Markup Cost]]</f>
        <v>29.716000000000001</v>
      </c>
      <c r="C415">
        <v>3</v>
      </c>
      <c r="D415" s="21">
        <f>Table4[[#This Row],[Selling Price]]-Table_supermarket_sales___Sheet1[[#This Row],[Cost Price]]</f>
        <v>3.8760000000000012</v>
      </c>
    </row>
    <row r="416" spans="1:4" x14ac:dyDescent="0.35">
      <c r="A416" t="s">
        <v>3</v>
      </c>
      <c r="B416" s="20">
        <f>Table_supermarket_sales___Sheet1[[#This Row],[Cost Price]]+Table57[[#This Row],[Markup Cost]]</f>
        <v>71.301999999999992</v>
      </c>
      <c r="C416">
        <v>5</v>
      </c>
      <c r="D416" s="21">
        <f>Table4[[#This Row],[Selling Price]]-Table_supermarket_sales___Sheet1[[#This Row],[Cost Price]]</f>
        <v>20.371999999999993</v>
      </c>
    </row>
    <row r="417" spans="1:4" x14ac:dyDescent="0.35">
      <c r="A417" t="s">
        <v>5</v>
      </c>
      <c r="B417" s="20">
        <f>Table_supermarket_sales___Sheet1[[#This Row],[Cost Price]]+Table57[[#This Row],[Markup Cost]]</f>
        <v>100.91549999999999</v>
      </c>
      <c r="C417">
        <v>1</v>
      </c>
      <c r="D417" s="21">
        <f>Table4[[#This Row],[Selling Price]]-Table_supermarket_sales___Sheet1[[#This Row],[Cost Price]]</f>
        <v>4.805499999999995</v>
      </c>
    </row>
    <row r="418" spans="1:4" x14ac:dyDescent="0.35">
      <c r="A418" t="s">
        <v>4</v>
      </c>
      <c r="B418" s="20">
        <f>Table_supermarket_sales___Sheet1[[#This Row],[Cost Price]]+Table57[[#This Row],[Markup Cost]]</f>
        <v>54.456000000000003</v>
      </c>
      <c r="C418">
        <v>3</v>
      </c>
      <c r="D418" s="21">
        <f>Table4[[#This Row],[Selling Price]]-Table_supermarket_sales___Sheet1[[#This Row],[Cost Price]]</f>
        <v>9.0760000000000005</v>
      </c>
    </row>
    <row r="419" spans="1:4" x14ac:dyDescent="0.35">
      <c r="A419" t="s">
        <v>5</v>
      </c>
      <c r="B419" s="20">
        <f>Table_supermarket_sales___Sheet1[[#This Row],[Cost Price]]+Table57[[#This Row],[Markup Cost]]</f>
        <v>85.58550000000001</v>
      </c>
      <c r="C419">
        <v>8</v>
      </c>
      <c r="D419" s="21">
        <f>Table4[[#This Row],[Selling Price]]-Table_supermarket_sales___Sheet1[[#This Row],[Cost Price]]</f>
        <v>4.0755000000000052</v>
      </c>
    </row>
    <row r="420" spans="1:4" x14ac:dyDescent="0.35">
      <c r="A420" t="s">
        <v>1</v>
      </c>
      <c r="B420" s="20">
        <f>Table_supermarket_sales___Sheet1[[#This Row],[Cost Price]]+Table57[[#This Row],[Markup Cost]]</f>
        <v>62.942</v>
      </c>
      <c r="C420">
        <v>3</v>
      </c>
      <c r="D420" s="21">
        <f>Table4[[#This Row],[Selling Price]]-Table_supermarket_sales___Sheet1[[#This Row],[Cost Price]]</f>
        <v>5.7220000000000013</v>
      </c>
    </row>
    <row r="421" spans="1:4" x14ac:dyDescent="0.35">
      <c r="A421" t="s">
        <v>1</v>
      </c>
      <c r="B421" s="20">
        <f>Table_supermarket_sales___Sheet1[[#This Row],[Cost Price]]+Table57[[#This Row],[Markup Cost]]</f>
        <v>34.046999999999997</v>
      </c>
      <c r="C421">
        <v>9</v>
      </c>
      <c r="D421" s="21">
        <f>Table4[[#This Row],[Selling Price]]-Table_supermarket_sales___Sheet1[[#This Row],[Cost Price]]</f>
        <v>8.8269999999999982</v>
      </c>
    </row>
    <row r="422" spans="1:4" x14ac:dyDescent="0.35">
      <c r="A422" t="s">
        <v>1</v>
      </c>
      <c r="B422" s="20">
        <f>Table_supermarket_sales___Sheet1[[#This Row],[Cost Price]]+Table57[[#This Row],[Markup Cost]]</f>
        <v>44.39</v>
      </c>
      <c r="C422">
        <v>6</v>
      </c>
      <c r="D422" s="21">
        <f>Table4[[#This Row],[Selling Price]]-Table_supermarket_sales___Sheet1[[#This Row],[Cost Price]]</f>
        <v>5.7899999999999991</v>
      </c>
    </row>
    <row r="423" spans="1:4" x14ac:dyDescent="0.35">
      <c r="A423" t="s">
        <v>4</v>
      </c>
      <c r="B423" s="20">
        <f>Table_supermarket_sales___Sheet1[[#This Row],[Cost Price]]+Table57[[#This Row],[Markup Cost]]</f>
        <v>96.657499999999999</v>
      </c>
      <c r="C423">
        <v>2</v>
      </c>
      <c r="D423" s="21">
        <f>Table4[[#This Row],[Selling Price]]-Table_supermarket_sales___Sheet1[[#This Row],[Cost Price]]</f>
        <v>12.607500000000002</v>
      </c>
    </row>
    <row r="424" spans="1:4" x14ac:dyDescent="0.35">
      <c r="A424" t="s">
        <v>4</v>
      </c>
      <c r="B424" s="20">
        <f>Table_supermarket_sales___Sheet1[[#This Row],[Cost Price]]+Table57[[#This Row],[Markup Cost]]</f>
        <v>145.815</v>
      </c>
      <c r="C424">
        <v>4</v>
      </c>
      <c r="D424" s="21">
        <f>Table4[[#This Row],[Selling Price]]-Table_supermarket_sales___Sheet1[[#This Row],[Cost Price]]</f>
        <v>48.605000000000004</v>
      </c>
    </row>
    <row r="425" spans="1:4" x14ac:dyDescent="0.35">
      <c r="A425" t="s">
        <v>1</v>
      </c>
      <c r="B425" s="20">
        <f>Table_supermarket_sales___Sheet1[[#This Row],[Cost Price]]+Table57[[#This Row],[Markup Cost]]</f>
        <v>35.588000000000001</v>
      </c>
      <c r="C425">
        <v>4</v>
      </c>
      <c r="D425" s="21">
        <f>Table4[[#This Row],[Selling Price]]-Table_supermarket_sales___Sheet1[[#This Row],[Cost Price]]</f>
        <v>10.167999999999999</v>
      </c>
    </row>
    <row r="426" spans="1:4" x14ac:dyDescent="0.35">
      <c r="A426" t="s">
        <v>2</v>
      </c>
      <c r="B426" s="20">
        <f>Table_supermarket_sales___Sheet1[[#This Row],[Cost Price]]+Table57[[#This Row],[Markup Cost]]</f>
        <v>17.094000000000001</v>
      </c>
      <c r="C426">
        <v>9</v>
      </c>
      <c r="D426" s="21">
        <f>Table4[[#This Row],[Selling Price]]-Table_supermarket_sales___Sheet1[[#This Row],[Cost Price]]</f>
        <v>0.81400000000000006</v>
      </c>
    </row>
    <row r="427" spans="1:4" x14ac:dyDescent="0.35">
      <c r="A427" t="s">
        <v>4</v>
      </c>
      <c r="B427" s="20">
        <f>Table_supermarket_sales___Sheet1[[#This Row],[Cost Price]]+Table57[[#This Row],[Markup Cost]]</f>
        <v>58.884500000000003</v>
      </c>
      <c r="C427">
        <v>7</v>
      </c>
      <c r="D427" s="21">
        <f>Table4[[#This Row],[Selling Price]]-Table_supermarket_sales___Sheet1[[#This Row],[Cost Price]]</f>
        <v>18.274500000000003</v>
      </c>
    </row>
    <row r="428" spans="1:4" x14ac:dyDescent="0.35">
      <c r="A428" t="s">
        <v>6</v>
      </c>
      <c r="B428" s="20">
        <f>Table_supermarket_sales___Sheet1[[#This Row],[Cost Price]]+Table57[[#This Row],[Markup Cost]]</f>
        <v>71.779499999999999</v>
      </c>
      <c r="C428">
        <v>5</v>
      </c>
      <c r="D428" s="21">
        <f>Table4[[#This Row],[Selling Price]]-Table_supermarket_sales___Sheet1[[#This Row],[Cost Price]]</f>
        <v>18.609499999999997</v>
      </c>
    </row>
    <row r="429" spans="1:4" x14ac:dyDescent="0.35">
      <c r="A429" t="s">
        <v>3</v>
      </c>
      <c r="B429" s="20">
        <f>Table_supermarket_sales___Sheet1[[#This Row],[Cost Price]]+Table57[[#This Row],[Markup Cost]]</f>
        <v>24.000500000000002</v>
      </c>
      <c r="C429">
        <v>8</v>
      </c>
      <c r="D429" s="21">
        <f>Table4[[#This Row],[Selling Price]]-Table_supermarket_sales___Sheet1[[#This Row],[Cost Price]]</f>
        <v>3.1305000000000014</v>
      </c>
    </row>
    <row r="430" spans="1:4" x14ac:dyDescent="0.35">
      <c r="A430" t="s">
        <v>2</v>
      </c>
      <c r="B430" s="20">
        <f>Table_supermarket_sales___Sheet1[[#This Row],[Cost Price]]+Table57[[#This Row],[Markup Cost]]</f>
        <v>84.087499999999991</v>
      </c>
      <c r="C430">
        <v>9</v>
      </c>
      <c r="D430" s="21">
        <f>Table4[[#This Row],[Selling Price]]-Table_supermarket_sales___Sheet1[[#This Row],[Cost Price]]</f>
        <v>16.817499999999995</v>
      </c>
    </row>
    <row r="431" spans="1:4" x14ac:dyDescent="0.35">
      <c r="A431" t="s">
        <v>4</v>
      </c>
      <c r="B431" s="20">
        <f>Table_supermarket_sales___Sheet1[[#This Row],[Cost Price]]+Table57[[#This Row],[Markup Cost]]</f>
        <v>135.97500000000002</v>
      </c>
      <c r="C431">
        <v>2</v>
      </c>
      <c r="D431" s="21">
        <f>Table4[[#This Row],[Selling Price]]-Table_supermarket_sales___Sheet1[[#This Row],[Cost Price]]</f>
        <v>45.325000000000017</v>
      </c>
    </row>
    <row r="432" spans="1:4" x14ac:dyDescent="0.35">
      <c r="A432" t="s">
        <v>3</v>
      </c>
      <c r="B432" s="20">
        <f>Table_supermarket_sales___Sheet1[[#This Row],[Cost Price]]+Table57[[#This Row],[Markup Cost]]</f>
        <v>75.988</v>
      </c>
      <c r="C432">
        <v>8</v>
      </c>
      <c r="D432" s="21">
        <f>Table4[[#This Row],[Selling Price]]-Table_supermarket_sales___Sheet1[[#This Row],[Cost Price]]</f>
        <v>6.9080000000000013</v>
      </c>
    </row>
    <row r="433" spans="1:4" x14ac:dyDescent="0.35">
      <c r="A433" t="s">
        <v>4</v>
      </c>
      <c r="B433" s="20">
        <f>Table_supermarket_sales___Sheet1[[#This Row],[Cost Price]]+Table57[[#This Row],[Markup Cost]]</f>
        <v>47.597000000000001</v>
      </c>
      <c r="C433">
        <v>6</v>
      </c>
      <c r="D433" s="21">
        <f>Table4[[#This Row],[Selling Price]]-Table_supermarket_sales___Sheet1[[#This Row],[Cost Price]]</f>
        <v>4.3269999999999982</v>
      </c>
    </row>
    <row r="434" spans="1:4" x14ac:dyDescent="0.35">
      <c r="A434" t="s">
        <v>2</v>
      </c>
      <c r="B434" s="20">
        <f>Table_supermarket_sales___Sheet1[[#This Row],[Cost Price]]+Table57[[#This Row],[Markup Cost]]</f>
        <v>30.498000000000001</v>
      </c>
      <c r="C434">
        <v>5</v>
      </c>
      <c r="D434" s="21">
        <f>Table4[[#This Row],[Selling Price]]-Table_supermarket_sales___Sheet1[[#This Row],[Cost Price]]</f>
        <v>7.0380000000000003</v>
      </c>
    </row>
    <row r="435" spans="1:4" x14ac:dyDescent="0.35">
      <c r="A435" t="s">
        <v>5</v>
      </c>
      <c r="B435" s="20">
        <f>Table_supermarket_sales___Sheet1[[#This Row],[Cost Price]]+Table57[[#This Row],[Markup Cost]]</f>
        <v>128.97900000000001</v>
      </c>
      <c r="C435">
        <v>5</v>
      </c>
      <c r="D435" s="21">
        <f>Table4[[#This Row],[Selling Price]]-Table_supermarket_sales___Sheet1[[#This Row],[Cost Price]]</f>
        <v>33.439000000000007</v>
      </c>
    </row>
    <row r="436" spans="1:4" x14ac:dyDescent="0.35">
      <c r="A436" t="s">
        <v>4</v>
      </c>
      <c r="B436" s="20">
        <f>Table_supermarket_sales___Sheet1[[#This Row],[Cost Price]]+Table57[[#This Row],[Markup Cost]]</f>
        <v>49.811999999999998</v>
      </c>
      <c r="C436">
        <v>6</v>
      </c>
      <c r="D436" s="21">
        <f>Table4[[#This Row],[Selling Price]]-Table_supermarket_sales___Sheet1[[#This Row],[Cost Price]]</f>
        <v>2.3719999999999999</v>
      </c>
    </row>
    <row r="437" spans="1:4" x14ac:dyDescent="0.35">
      <c r="A437" t="s">
        <v>2</v>
      </c>
      <c r="B437" s="20">
        <f>Table_supermarket_sales___Sheet1[[#This Row],[Cost Price]]+Table57[[#This Row],[Markup Cost]]</f>
        <v>143.898</v>
      </c>
      <c r="C437">
        <v>5</v>
      </c>
      <c r="D437" s="21">
        <f>Table4[[#This Row],[Selling Price]]-Table_supermarket_sales___Sheet1[[#This Row],[Cost Price]]</f>
        <v>44.658000000000001</v>
      </c>
    </row>
    <row r="438" spans="1:4" x14ac:dyDescent="0.35">
      <c r="A438" t="s">
        <v>3</v>
      </c>
      <c r="B438" s="20">
        <f>Table_supermarket_sales___Sheet1[[#This Row],[Cost Price]]+Table57[[#This Row],[Markup Cost]]</f>
        <v>99.516000000000005</v>
      </c>
      <c r="C438">
        <v>4</v>
      </c>
      <c r="D438" s="21">
        <f>Table4[[#This Row],[Selling Price]]-Table_supermarket_sales___Sheet1[[#This Row],[Cost Price]]</f>
        <v>16.585999999999999</v>
      </c>
    </row>
    <row r="439" spans="1:4" x14ac:dyDescent="0.35">
      <c r="A439" t="s">
        <v>1</v>
      </c>
      <c r="B439" s="20">
        <f>Table_supermarket_sales___Sheet1[[#This Row],[Cost Price]]+Table57[[#This Row],[Markup Cost]]</f>
        <v>44.186999999999998</v>
      </c>
      <c r="C439">
        <v>1</v>
      </c>
      <c r="D439" s="21">
        <f>Table4[[#This Row],[Selling Price]]-Table_supermarket_sales___Sheet1[[#This Row],[Cost Price]]</f>
        <v>10.196999999999996</v>
      </c>
    </row>
    <row r="440" spans="1:4" x14ac:dyDescent="0.35">
      <c r="A440" t="s">
        <v>3</v>
      </c>
      <c r="B440" s="20">
        <f>Table_supermarket_sales___Sheet1[[#This Row],[Cost Price]]+Table57[[#This Row],[Markup Cost]]</f>
        <v>20.448</v>
      </c>
      <c r="C440">
        <v>9</v>
      </c>
      <c r="D440" s="21">
        <f>Table4[[#This Row],[Selling Price]]-Table_supermarket_sales___Sheet1[[#This Row],[Cost Price]]</f>
        <v>3.4080000000000013</v>
      </c>
    </row>
    <row r="441" spans="1:4" x14ac:dyDescent="0.35">
      <c r="A441" t="s">
        <v>2</v>
      </c>
      <c r="B441" s="20">
        <f>Table_supermarket_sales___Sheet1[[#This Row],[Cost Price]]+Table57[[#This Row],[Markup Cost]]</f>
        <v>57.204000000000001</v>
      </c>
      <c r="C441">
        <v>1</v>
      </c>
      <c r="D441" s="21">
        <f>Table4[[#This Row],[Selling Price]]-Table_supermarket_sales___Sheet1[[#This Row],[Cost Price]]</f>
        <v>16.344000000000001</v>
      </c>
    </row>
    <row r="442" spans="1:4" x14ac:dyDescent="0.35">
      <c r="A442" t="s">
        <v>6</v>
      </c>
      <c r="B442" s="20">
        <f>Table_supermarket_sales___Sheet1[[#This Row],[Cost Price]]+Table57[[#This Row],[Markup Cost]]</f>
        <v>21.8</v>
      </c>
      <c r="C442">
        <v>10</v>
      </c>
      <c r="D442" s="21">
        <f>Table4[[#This Row],[Selling Price]]-Table_supermarket_sales___Sheet1[[#This Row],[Cost Price]]</f>
        <v>4.3599999999999994</v>
      </c>
    </row>
    <row r="443" spans="1:4" x14ac:dyDescent="0.35">
      <c r="A443" t="s">
        <v>1</v>
      </c>
      <c r="B443" s="20">
        <f>Table_supermarket_sales___Sheet1[[#This Row],[Cost Price]]+Table57[[#This Row],[Markup Cost]]</f>
        <v>123.80200000000001</v>
      </c>
      <c r="C443">
        <v>1</v>
      </c>
      <c r="D443" s="21">
        <f>Table4[[#This Row],[Selling Price]]-Table_supermarket_sales___Sheet1[[#This Row],[Cost Price]]</f>
        <v>35.372</v>
      </c>
    </row>
    <row r="444" spans="1:4" x14ac:dyDescent="0.35">
      <c r="A444" t="s">
        <v>2</v>
      </c>
      <c r="B444" s="20">
        <f>Table_supermarket_sales___Sheet1[[#This Row],[Cost Price]]+Table57[[#This Row],[Markup Cost]]</f>
        <v>129.3545</v>
      </c>
      <c r="C444">
        <v>1</v>
      </c>
      <c r="D444" s="21">
        <f>Table4[[#This Row],[Selling Price]]-Table_supermarket_sales___Sheet1[[#This Row],[Cost Price]]</f>
        <v>40.144500000000008</v>
      </c>
    </row>
    <row r="445" spans="1:4" x14ac:dyDescent="0.35">
      <c r="A445" t="s">
        <v>3</v>
      </c>
      <c r="B445" s="20">
        <f>Table_supermarket_sales___Sheet1[[#This Row],[Cost Price]]+Table57[[#This Row],[Markup Cost]]</f>
        <v>13.418999999999999</v>
      </c>
      <c r="C445">
        <v>9</v>
      </c>
      <c r="D445" s="21">
        <f>Table4[[#This Row],[Selling Price]]-Table_supermarket_sales___Sheet1[[#This Row],[Cost Price]]</f>
        <v>0.63899999999999935</v>
      </c>
    </row>
    <row r="446" spans="1:4" x14ac:dyDescent="0.35">
      <c r="A446" t="s">
        <v>4</v>
      </c>
      <c r="B446" s="20">
        <f>Table_supermarket_sales___Sheet1[[#This Row],[Cost Price]]+Table57[[#This Row],[Markup Cost]]</f>
        <v>25.785</v>
      </c>
      <c r="C446">
        <v>2</v>
      </c>
      <c r="D446" s="21">
        <f>Table4[[#This Row],[Selling Price]]-Table_supermarket_sales___Sheet1[[#This Row],[Cost Price]]</f>
        <v>6.6849999999999987</v>
      </c>
    </row>
    <row r="447" spans="1:4" x14ac:dyDescent="0.35">
      <c r="A447" t="s">
        <v>4</v>
      </c>
      <c r="B447" s="20">
        <f>Table_supermarket_sales___Sheet1[[#This Row],[Cost Price]]+Table57[[#This Row],[Markup Cost]]</f>
        <v>20.107499999999998</v>
      </c>
      <c r="C447">
        <v>1</v>
      </c>
      <c r="D447" s="21">
        <f>Table4[[#This Row],[Selling Price]]-Table_supermarket_sales___Sheet1[[#This Row],[Cost Price]]</f>
        <v>0.95749999999999957</v>
      </c>
    </row>
    <row r="448" spans="1:4" x14ac:dyDescent="0.35">
      <c r="A448" t="s">
        <v>5</v>
      </c>
      <c r="B448" s="20">
        <f>Table_supermarket_sales___Sheet1[[#This Row],[Cost Price]]+Table57[[#This Row],[Markup Cost]]</f>
        <v>41.49</v>
      </c>
      <c r="C448">
        <v>10</v>
      </c>
      <c r="D448" s="21">
        <f>Table4[[#This Row],[Selling Price]]-Table_supermarket_sales___Sheet1[[#This Row],[Cost Price]]</f>
        <v>13.830000000000002</v>
      </c>
    </row>
    <row r="449" spans="1:4" x14ac:dyDescent="0.35">
      <c r="A449" t="s">
        <v>6</v>
      </c>
      <c r="B449" s="20">
        <f>Table_supermarket_sales___Sheet1[[#This Row],[Cost Price]]+Table57[[#This Row],[Markup Cost]]</f>
        <v>52.600999999999999</v>
      </c>
      <c r="C449">
        <v>2</v>
      </c>
      <c r="D449" s="21">
        <f>Table4[[#This Row],[Selling Price]]-Table_supermarket_sales___Sheet1[[#This Row],[Cost Price]]</f>
        <v>6.8609999999999971</v>
      </c>
    </row>
    <row r="450" spans="1:4" x14ac:dyDescent="0.35">
      <c r="A450" t="s">
        <v>5</v>
      </c>
      <c r="B450" s="20">
        <f>Table_supermarket_sales___Sheet1[[#This Row],[Cost Price]]+Table57[[#This Row],[Markup Cost]]</f>
        <v>28.423500000000001</v>
      </c>
      <c r="C450">
        <v>3</v>
      </c>
      <c r="D450" s="21">
        <f>Table4[[#This Row],[Selling Price]]-Table_supermarket_sales___Sheet1[[#This Row],[Cost Price]]</f>
        <v>1.3535000000000004</v>
      </c>
    </row>
    <row r="451" spans="1:4" x14ac:dyDescent="0.35">
      <c r="A451" t="s">
        <v>5</v>
      </c>
      <c r="B451" s="20">
        <f>Table_supermarket_sales___Sheet1[[#This Row],[Cost Price]]+Table57[[#This Row],[Markup Cost]]</f>
        <v>41.076000000000001</v>
      </c>
      <c r="C451">
        <v>10</v>
      </c>
      <c r="D451" s="21">
        <f>Table4[[#This Row],[Selling Price]]-Table_supermarket_sales___Sheet1[[#This Row],[Cost Price]]</f>
        <v>1.9560000000000031</v>
      </c>
    </row>
    <row r="452" spans="1:4" x14ac:dyDescent="0.35">
      <c r="A452" t="s">
        <v>2</v>
      </c>
      <c r="B452" s="20">
        <f>Table_supermarket_sales___Sheet1[[#This Row],[Cost Price]]+Table57[[#This Row],[Markup Cost]]</f>
        <v>97.12299999999999</v>
      </c>
      <c r="C452">
        <v>10</v>
      </c>
      <c r="D452" s="21">
        <f>Table4[[#This Row],[Selling Price]]-Table_supermarket_sales___Sheet1[[#This Row],[Cost Price]]</f>
        <v>22.412999999999997</v>
      </c>
    </row>
    <row r="453" spans="1:4" x14ac:dyDescent="0.35">
      <c r="A453" t="s">
        <v>2</v>
      </c>
      <c r="B453" s="20">
        <f>Table_supermarket_sales___Sheet1[[#This Row],[Cost Price]]+Table57[[#This Row],[Markup Cost]]</f>
        <v>28.613</v>
      </c>
      <c r="C453">
        <v>7</v>
      </c>
      <c r="D453" s="21">
        <f>Table4[[#This Row],[Selling Price]]-Table_supermarket_sales___Sheet1[[#This Row],[Cost Price]]</f>
        <v>6.602999999999998</v>
      </c>
    </row>
    <row r="454" spans="1:4" x14ac:dyDescent="0.35">
      <c r="A454" t="s">
        <v>5</v>
      </c>
      <c r="B454" s="20">
        <f>Table_supermarket_sales___Sheet1[[#This Row],[Cost Price]]+Table57[[#This Row],[Markup Cost]]</f>
        <v>79.512500000000003</v>
      </c>
      <c r="C454">
        <v>3</v>
      </c>
      <c r="D454" s="21">
        <f>Table4[[#This Row],[Selling Price]]-Table_supermarket_sales___Sheet1[[#This Row],[Cost Price]]</f>
        <v>15.902500000000003</v>
      </c>
    </row>
    <row r="455" spans="1:4" x14ac:dyDescent="0.35">
      <c r="A455" t="s">
        <v>3</v>
      </c>
      <c r="B455" s="20">
        <f>Table_supermarket_sales___Sheet1[[#This Row],[Cost Price]]+Table57[[#This Row],[Markup Cost]]</f>
        <v>26.25</v>
      </c>
      <c r="C455">
        <v>7</v>
      </c>
      <c r="D455" s="21">
        <f>Table4[[#This Row],[Selling Price]]-Table_supermarket_sales___Sheet1[[#This Row],[Cost Price]]</f>
        <v>1.25</v>
      </c>
    </row>
    <row r="456" spans="1:4" x14ac:dyDescent="0.35">
      <c r="A456" t="s">
        <v>3</v>
      </c>
      <c r="B456" s="20">
        <f>Table_supermarket_sales___Sheet1[[#This Row],[Cost Price]]+Table57[[#This Row],[Markup Cost]]</f>
        <v>24.923999999999999</v>
      </c>
      <c r="C456">
        <v>1</v>
      </c>
      <c r="D456" s="21">
        <f>Table4[[#This Row],[Selling Price]]-Table_supermarket_sales___Sheet1[[#This Row],[Cost Price]]</f>
        <v>4.1539999999999999</v>
      </c>
    </row>
    <row r="457" spans="1:4" x14ac:dyDescent="0.35">
      <c r="A457" t="s">
        <v>6</v>
      </c>
      <c r="B457" s="20">
        <f>Table_supermarket_sales___Sheet1[[#This Row],[Cost Price]]+Table57[[#This Row],[Markup Cost]]</f>
        <v>36.949999999999996</v>
      </c>
      <c r="C457">
        <v>1</v>
      </c>
      <c r="D457" s="21">
        <f>Table4[[#This Row],[Selling Price]]-Table_supermarket_sales___Sheet1[[#This Row],[Cost Price]]</f>
        <v>7.389999999999997</v>
      </c>
    </row>
    <row r="458" spans="1:4" x14ac:dyDescent="0.35">
      <c r="A458" t="s">
        <v>3</v>
      </c>
      <c r="B458" s="20">
        <f>Table_supermarket_sales___Sheet1[[#This Row],[Cost Price]]+Table57[[#This Row],[Markup Cost]]</f>
        <v>112.23</v>
      </c>
      <c r="C458">
        <v>1</v>
      </c>
      <c r="D458" s="21">
        <f>Table4[[#This Row],[Selling Price]]-Table_supermarket_sales___Sheet1[[#This Row],[Cost Price]]</f>
        <v>34.83</v>
      </c>
    </row>
    <row r="459" spans="1:4" x14ac:dyDescent="0.35">
      <c r="A459" t="s">
        <v>3</v>
      </c>
      <c r="B459" s="20">
        <f>Table_supermarket_sales___Sheet1[[#This Row],[Cost Price]]+Table57[[#This Row],[Markup Cost]]</f>
        <v>119.08500000000001</v>
      </c>
      <c r="C459">
        <v>8</v>
      </c>
      <c r="D459" s="21">
        <f>Table4[[#This Row],[Selling Price]]-Table_supermarket_sales___Sheet1[[#This Row],[Cost Price]]</f>
        <v>39.695000000000007</v>
      </c>
    </row>
    <row r="460" spans="1:4" x14ac:dyDescent="0.35">
      <c r="A460" t="s">
        <v>4</v>
      </c>
      <c r="B460" s="20">
        <f>Table_supermarket_sales___Sheet1[[#This Row],[Cost Price]]+Table57[[#This Row],[Markup Cost]]</f>
        <v>69.855000000000004</v>
      </c>
      <c r="C460">
        <v>7</v>
      </c>
      <c r="D460" s="21">
        <f>Table4[[#This Row],[Selling Price]]-Table_supermarket_sales___Sheet1[[#This Row],[Cost Price]]</f>
        <v>23.285000000000004</v>
      </c>
    </row>
    <row r="461" spans="1:4" x14ac:dyDescent="0.35">
      <c r="A461" t="s">
        <v>4</v>
      </c>
      <c r="B461" s="20">
        <f>Table_supermarket_sales___Sheet1[[#This Row],[Cost Price]]+Table57[[#This Row],[Markup Cost]]</f>
        <v>37.6845</v>
      </c>
      <c r="C461">
        <v>4</v>
      </c>
      <c r="D461" s="21">
        <f>Table4[[#This Row],[Selling Price]]-Table_supermarket_sales___Sheet1[[#This Row],[Cost Price]]</f>
        <v>1.7944999999999993</v>
      </c>
    </row>
    <row r="462" spans="1:4" x14ac:dyDescent="0.35">
      <c r="A462" t="s">
        <v>6</v>
      </c>
      <c r="B462" s="20">
        <f>Table_supermarket_sales___Sheet1[[#This Row],[Cost Price]]+Table57[[#This Row],[Markup Cost]]</f>
        <v>50.650000000000006</v>
      </c>
      <c r="C462">
        <v>7</v>
      </c>
      <c r="D462" s="21">
        <f>Table4[[#This Row],[Selling Price]]-Table_supermarket_sales___Sheet1[[#This Row],[Cost Price]]</f>
        <v>10.130000000000003</v>
      </c>
    </row>
    <row r="463" spans="1:4" x14ac:dyDescent="0.35">
      <c r="A463" t="s">
        <v>4</v>
      </c>
      <c r="B463" s="20">
        <f>Table_supermarket_sales___Sheet1[[#This Row],[Cost Price]]+Table57[[#This Row],[Markup Cost]]</f>
        <v>109.57499999999999</v>
      </c>
      <c r="C463">
        <v>2</v>
      </c>
      <c r="D463" s="21">
        <f>Table4[[#This Row],[Selling Price]]-Table_supermarket_sales___Sheet1[[#This Row],[Cost Price]]</f>
        <v>36.524999999999991</v>
      </c>
    </row>
    <row r="464" spans="1:4" x14ac:dyDescent="0.35">
      <c r="A464" t="s">
        <v>2</v>
      </c>
      <c r="B464" s="20">
        <f>Table_supermarket_sales___Sheet1[[#This Row],[Cost Price]]+Table57[[#This Row],[Markup Cost]]</f>
        <v>88.740000000000009</v>
      </c>
      <c r="C464">
        <v>8</v>
      </c>
      <c r="D464" s="21">
        <f>Table4[[#This Row],[Selling Price]]-Table_supermarket_sales___Sheet1[[#This Row],[Cost Price]]</f>
        <v>14.790000000000006</v>
      </c>
    </row>
    <row r="465" spans="1:4" x14ac:dyDescent="0.35">
      <c r="A465" t="s">
        <v>6</v>
      </c>
      <c r="B465" s="20">
        <f>Table_supermarket_sales___Sheet1[[#This Row],[Cost Price]]+Table57[[#This Row],[Markup Cost]]</f>
        <v>23.751000000000001</v>
      </c>
      <c r="C465">
        <v>2</v>
      </c>
      <c r="D465" s="21">
        <f>Table4[[#This Row],[Selling Price]]-Table_supermarket_sales___Sheet1[[#This Row],[Cost Price]]</f>
        <v>1.1310000000000002</v>
      </c>
    </row>
    <row r="466" spans="1:4" x14ac:dyDescent="0.35">
      <c r="A466" t="s">
        <v>2</v>
      </c>
      <c r="B466" s="20">
        <f>Table_supermarket_sales___Sheet1[[#This Row],[Cost Price]]+Table57[[#This Row],[Markup Cost]]</f>
        <v>64.175000000000011</v>
      </c>
      <c r="C466">
        <v>5</v>
      </c>
      <c r="D466" s="21">
        <f>Table4[[#This Row],[Selling Price]]-Table_supermarket_sales___Sheet1[[#This Row],[Cost Price]]</f>
        <v>12.835000000000008</v>
      </c>
    </row>
    <row r="467" spans="1:4" x14ac:dyDescent="0.35">
      <c r="A467" t="s">
        <v>4</v>
      </c>
      <c r="B467" s="20">
        <f>Table_supermarket_sales___Sheet1[[#This Row],[Cost Price]]+Table57[[#This Row],[Markup Cost]]</f>
        <v>81.824999999999989</v>
      </c>
      <c r="C467">
        <v>6</v>
      </c>
      <c r="D467" s="21">
        <f>Table4[[#This Row],[Selling Price]]-Table_supermarket_sales___Sheet1[[#This Row],[Cost Price]]</f>
        <v>27.274999999999991</v>
      </c>
    </row>
    <row r="468" spans="1:4" x14ac:dyDescent="0.35">
      <c r="A468" t="s">
        <v>5</v>
      </c>
      <c r="B468" s="20">
        <f>Table_supermarket_sales___Sheet1[[#This Row],[Cost Price]]+Table57[[#This Row],[Markup Cost]]</f>
        <v>50.152499999999996</v>
      </c>
      <c r="C468">
        <v>1</v>
      </c>
      <c r="D468" s="21">
        <f>Table4[[#This Row],[Selling Price]]-Table_supermarket_sales___Sheet1[[#This Row],[Cost Price]]</f>
        <v>13.002499999999998</v>
      </c>
    </row>
    <row r="469" spans="1:4" x14ac:dyDescent="0.35">
      <c r="A469" t="s">
        <v>4</v>
      </c>
      <c r="B469" s="20">
        <f>Table_supermarket_sales___Sheet1[[#This Row],[Cost Price]]+Table57[[#This Row],[Markup Cost]]</f>
        <v>48.126000000000005</v>
      </c>
      <c r="C469">
        <v>5</v>
      </c>
      <c r="D469" s="21">
        <f>Table4[[#This Row],[Selling Price]]-Table_supermarket_sales___Sheet1[[#This Row],[Cost Price]]</f>
        <v>11.106000000000002</v>
      </c>
    </row>
    <row r="470" spans="1:4" x14ac:dyDescent="0.35">
      <c r="A470" t="s">
        <v>1</v>
      </c>
      <c r="B470" s="20">
        <f>Table_supermarket_sales___Sheet1[[#This Row],[Cost Price]]+Table57[[#This Row],[Markup Cost]]</f>
        <v>22.658999999999999</v>
      </c>
      <c r="C470">
        <v>1</v>
      </c>
      <c r="D470" s="21">
        <f>Table4[[#This Row],[Selling Price]]-Table_supermarket_sales___Sheet1[[#This Row],[Cost Price]]</f>
        <v>1.0790000000000006</v>
      </c>
    </row>
    <row r="471" spans="1:4" x14ac:dyDescent="0.35">
      <c r="A471" t="s">
        <v>1</v>
      </c>
      <c r="B471" s="20">
        <f>Table_supermarket_sales___Sheet1[[#This Row],[Cost Price]]+Table57[[#This Row],[Markup Cost]]</f>
        <v>103.78200000000001</v>
      </c>
      <c r="C471">
        <v>2</v>
      </c>
      <c r="D471" s="21">
        <f>Table4[[#This Row],[Selling Price]]-Table_supermarket_sales___Sheet1[[#This Row],[Cost Price]]</f>
        <v>4.9420000000000073</v>
      </c>
    </row>
    <row r="472" spans="1:4" x14ac:dyDescent="0.35">
      <c r="A472" t="s">
        <v>6</v>
      </c>
      <c r="B472" s="20">
        <f>Table_supermarket_sales___Sheet1[[#This Row],[Cost Price]]+Table57[[#This Row],[Markup Cost]]</f>
        <v>108.901</v>
      </c>
      <c r="C472">
        <v>9</v>
      </c>
      <c r="D472" s="21">
        <f>Table4[[#This Row],[Selling Price]]-Table_supermarket_sales___Sheet1[[#This Row],[Cost Price]]</f>
        <v>25.131</v>
      </c>
    </row>
    <row r="473" spans="1:4" x14ac:dyDescent="0.35">
      <c r="A473" t="s">
        <v>1</v>
      </c>
      <c r="B473" s="20">
        <f>Table_supermarket_sales___Sheet1[[#This Row],[Cost Price]]+Table57[[#This Row],[Markup Cost]]</f>
        <v>48.059999999999995</v>
      </c>
      <c r="C473">
        <v>9</v>
      </c>
      <c r="D473" s="21">
        <f>Table4[[#This Row],[Selling Price]]-Table_supermarket_sales___Sheet1[[#This Row],[Cost Price]]</f>
        <v>8.009999999999998</v>
      </c>
    </row>
    <row r="474" spans="1:4" x14ac:dyDescent="0.35">
      <c r="A474" t="s">
        <v>4</v>
      </c>
      <c r="B474" s="20">
        <f>Table_supermarket_sales___Sheet1[[#This Row],[Cost Price]]+Table57[[#This Row],[Markup Cost]]</f>
        <v>64.695000000000007</v>
      </c>
      <c r="C474">
        <v>1</v>
      </c>
      <c r="D474" s="21">
        <f>Table4[[#This Row],[Selling Price]]-Table_supermarket_sales___Sheet1[[#This Row],[Cost Price]]</f>
        <v>21.565000000000005</v>
      </c>
    </row>
    <row r="475" spans="1:4" x14ac:dyDescent="0.35">
      <c r="A475" t="s">
        <v>1</v>
      </c>
      <c r="B475" s="20">
        <f>Table_supermarket_sales___Sheet1[[#This Row],[Cost Price]]+Table57[[#This Row],[Markup Cost]]</f>
        <v>101.59799999999998</v>
      </c>
      <c r="C475">
        <v>7</v>
      </c>
      <c r="D475" s="21">
        <f>Table4[[#This Row],[Selling Price]]-Table_supermarket_sales___Sheet1[[#This Row],[Cost Price]]</f>
        <v>29.027999999999992</v>
      </c>
    </row>
    <row r="476" spans="1:4" x14ac:dyDescent="0.35">
      <c r="A476" t="s">
        <v>6</v>
      </c>
      <c r="B476" s="20">
        <f>Table_supermarket_sales___Sheet1[[#This Row],[Cost Price]]+Table57[[#This Row],[Markup Cost]]</f>
        <v>80.55</v>
      </c>
      <c r="C476">
        <v>1</v>
      </c>
      <c r="D476" s="21">
        <f>Table4[[#This Row],[Selling Price]]-Table_supermarket_sales___Sheet1[[#This Row],[Cost Price]]</f>
        <v>16.11</v>
      </c>
    </row>
    <row r="477" spans="1:4" x14ac:dyDescent="0.35">
      <c r="A477" t="s">
        <v>3</v>
      </c>
      <c r="B477" s="20">
        <f>Table_supermarket_sales___Sheet1[[#This Row],[Cost Price]]+Table57[[#This Row],[Markup Cost]]</f>
        <v>74.957000000000008</v>
      </c>
      <c r="C477">
        <v>2</v>
      </c>
      <c r="D477" s="21">
        <f>Table4[[#This Row],[Selling Price]]-Table_supermarket_sales___Sheet1[[#This Row],[Cost Price]]</f>
        <v>9.777000000000001</v>
      </c>
    </row>
    <row r="478" spans="1:4" x14ac:dyDescent="0.35">
      <c r="A478" t="s">
        <v>6</v>
      </c>
      <c r="B478" s="20">
        <f>Table_supermarket_sales___Sheet1[[#This Row],[Cost Price]]+Table57[[#This Row],[Markup Cost]]</f>
        <v>41.574999999999996</v>
      </c>
      <c r="C478">
        <v>7</v>
      </c>
      <c r="D478" s="21">
        <f>Table4[[#This Row],[Selling Price]]-Table_supermarket_sales___Sheet1[[#This Row],[Cost Price]]</f>
        <v>8.3149999999999977</v>
      </c>
    </row>
    <row r="479" spans="1:4" x14ac:dyDescent="0.35">
      <c r="A479" t="s">
        <v>3</v>
      </c>
      <c r="B479" s="20">
        <f>Table_supermarket_sales___Sheet1[[#This Row],[Cost Price]]+Table57[[#This Row],[Markup Cost]]</f>
        <v>100.88399999999999</v>
      </c>
      <c r="C479">
        <v>9</v>
      </c>
      <c r="D479" s="21">
        <f>Table4[[#This Row],[Selling Price]]-Table_supermarket_sales___Sheet1[[#This Row],[Cost Price]]</f>
        <v>16.813999999999993</v>
      </c>
    </row>
    <row r="480" spans="1:4" x14ac:dyDescent="0.35">
      <c r="A480" t="s">
        <v>3</v>
      </c>
      <c r="B480" s="20">
        <f>Table_supermarket_sales___Sheet1[[#This Row],[Cost Price]]+Table57[[#This Row],[Markup Cost]]</f>
        <v>51.554999999999993</v>
      </c>
      <c r="C480">
        <v>6</v>
      </c>
      <c r="D480" s="21">
        <f>Table4[[#This Row],[Selling Price]]-Table_supermarket_sales___Sheet1[[#This Row],[Cost Price]]</f>
        <v>17.184999999999995</v>
      </c>
    </row>
    <row r="481" spans="1:4" x14ac:dyDescent="0.35">
      <c r="A481" t="s">
        <v>2</v>
      </c>
      <c r="B481" s="20">
        <f>Table_supermarket_sales___Sheet1[[#This Row],[Cost Price]]+Table57[[#This Row],[Markup Cost]]</f>
        <v>40.53</v>
      </c>
      <c r="C481">
        <v>4</v>
      </c>
      <c r="D481" s="21">
        <f>Table4[[#This Row],[Selling Price]]-Table_supermarket_sales___Sheet1[[#This Row],[Cost Price]]</f>
        <v>1.9299999999999997</v>
      </c>
    </row>
    <row r="482" spans="1:4" x14ac:dyDescent="0.35">
      <c r="A482" t="s">
        <v>5</v>
      </c>
      <c r="B482" s="20">
        <f>Table_supermarket_sales___Sheet1[[#This Row],[Cost Price]]+Table57[[#This Row],[Markup Cost]]</f>
        <v>92.358000000000004</v>
      </c>
      <c r="C482">
        <v>2</v>
      </c>
      <c r="D482" s="21">
        <f>Table4[[#This Row],[Selling Price]]-Table_supermarket_sales___Sheet1[[#This Row],[Cost Price]]</f>
        <v>26.388000000000005</v>
      </c>
    </row>
    <row r="483" spans="1:4" x14ac:dyDescent="0.35">
      <c r="A483" t="s">
        <v>1</v>
      </c>
      <c r="B483" s="20">
        <f>Table_supermarket_sales___Sheet1[[#This Row],[Cost Price]]+Table57[[#This Row],[Markup Cost]]</f>
        <v>49.199999999999996</v>
      </c>
      <c r="C483">
        <v>10</v>
      </c>
      <c r="D483" s="21">
        <f>Table4[[#This Row],[Selling Price]]-Table_supermarket_sales___Sheet1[[#This Row],[Cost Price]]</f>
        <v>16.399999999999999</v>
      </c>
    </row>
    <row r="484" spans="1:4" x14ac:dyDescent="0.35">
      <c r="A484" t="s">
        <v>2</v>
      </c>
      <c r="B484" s="20">
        <f>Table_supermarket_sales___Sheet1[[#This Row],[Cost Price]]+Table57[[#This Row],[Markup Cost]]</f>
        <v>46.424999999999997</v>
      </c>
      <c r="C484">
        <v>5</v>
      </c>
      <c r="D484" s="21">
        <f>Table4[[#This Row],[Selling Price]]-Table_supermarket_sales___Sheet1[[#This Row],[Cost Price]]</f>
        <v>9.2849999999999966</v>
      </c>
    </row>
    <row r="485" spans="1:4" x14ac:dyDescent="0.35">
      <c r="A485" t="s">
        <v>4</v>
      </c>
      <c r="B485" s="20">
        <f>Table_supermarket_sales___Sheet1[[#This Row],[Cost Price]]+Table57[[#This Row],[Markup Cost]]</f>
        <v>90.570000000000007</v>
      </c>
      <c r="C485">
        <v>10</v>
      </c>
      <c r="D485" s="21">
        <f>Table4[[#This Row],[Selling Price]]-Table_supermarket_sales___Sheet1[[#This Row],[Cost Price]]</f>
        <v>30.190000000000005</v>
      </c>
    </row>
    <row r="486" spans="1:4" x14ac:dyDescent="0.35">
      <c r="A486" t="s">
        <v>5</v>
      </c>
      <c r="B486" s="20">
        <f>Table_supermarket_sales___Sheet1[[#This Row],[Cost Price]]+Table57[[#This Row],[Markup Cost]]</f>
        <v>55.47</v>
      </c>
      <c r="C486">
        <v>5</v>
      </c>
      <c r="D486" s="21">
        <f>Table4[[#This Row],[Selling Price]]-Table_supermarket_sales___Sheet1[[#This Row],[Cost Price]]</f>
        <v>18.490000000000002</v>
      </c>
    </row>
    <row r="487" spans="1:4" x14ac:dyDescent="0.35">
      <c r="A487" t="s">
        <v>3</v>
      </c>
      <c r="B487" s="20">
        <f>Table_supermarket_sales___Sheet1[[#This Row],[Cost Price]]+Table57[[#This Row],[Markup Cost]]</f>
        <v>59.388000000000005</v>
      </c>
      <c r="C487">
        <v>7</v>
      </c>
      <c r="D487" s="21">
        <f>Table4[[#This Row],[Selling Price]]-Table_supermarket_sales___Sheet1[[#This Row],[Cost Price]]</f>
        <v>9.8980000000000032</v>
      </c>
    </row>
    <row r="488" spans="1:4" x14ac:dyDescent="0.35">
      <c r="A488" t="s">
        <v>1</v>
      </c>
      <c r="B488" s="20">
        <f>Table_supermarket_sales___Sheet1[[#This Row],[Cost Price]]+Table57[[#This Row],[Markup Cost]]</f>
        <v>61.635000000000005</v>
      </c>
      <c r="C488">
        <v>2</v>
      </c>
      <c r="D488" s="21">
        <f>Table4[[#This Row],[Selling Price]]-Table_supermarket_sales___Sheet1[[#This Row],[Cost Price]]</f>
        <v>20.545000000000002</v>
      </c>
    </row>
    <row r="489" spans="1:4" x14ac:dyDescent="0.35">
      <c r="A489" t="s">
        <v>1</v>
      </c>
      <c r="B489" s="20">
        <f>Table_supermarket_sales___Sheet1[[#This Row],[Cost Price]]+Table57[[#This Row],[Markup Cost]]</f>
        <v>44.58</v>
      </c>
      <c r="C489">
        <v>3</v>
      </c>
      <c r="D489" s="21">
        <f>Table4[[#This Row],[Selling Price]]-Table_supermarket_sales___Sheet1[[#This Row],[Cost Price]]</f>
        <v>7.43</v>
      </c>
    </row>
    <row r="490" spans="1:4" x14ac:dyDescent="0.35">
      <c r="A490" t="s">
        <v>5</v>
      </c>
      <c r="B490" s="20">
        <f>Table_supermarket_sales___Sheet1[[#This Row],[Cost Price]]+Table57[[#This Row],[Markup Cost]]</f>
        <v>24.108000000000001</v>
      </c>
      <c r="C490">
        <v>9</v>
      </c>
      <c r="D490" s="21">
        <f>Table4[[#This Row],[Selling Price]]-Table_supermarket_sales___Sheet1[[#This Row],[Cost Price]]</f>
        <v>1.1479999999999997</v>
      </c>
    </row>
    <row r="491" spans="1:4" x14ac:dyDescent="0.35">
      <c r="A491" t="s">
        <v>6</v>
      </c>
      <c r="B491" s="20">
        <f>Table_supermarket_sales___Sheet1[[#This Row],[Cost Price]]+Table57[[#This Row],[Markup Cost]]</f>
        <v>112.63600000000001</v>
      </c>
      <c r="C491">
        <v>2</v>
      </c>
      <c r="D491" s="21">
        <f>Table4[[#This Row],[Selling Price]]-Table_supermarket_sales___Sheet1[[#This Row],[Cost Price]]</f>
        <v>34.956000000000003</v>
      </c>
    </row>
    <row r="492" spans="1:4" x14ac:dyDescent="0.35">
      <c r="A492" t="s">
        <v>2</v>
      </c>
      <c r="B492" s="20">
        <f>Table_supermarket_sales___Sheet1[[#This Row],[Cost Price]]+Table57[[#This Row],[Markup Cost]]</f>
        <v>38.17</v>
      </c>
      <c r="C492">
        <v>4</v>
      </c>
      <c r="D492" s="21">
        <f>Table4[[#This Row],[Selling Price]]-Table_supermarket_sales___Sheet1[[#This Row],[Cost Price]]</f>
        <v>3.4699999999999989</v>
      </c>
    </row>
    <row r="493" spans="1:4" x14ac:dyDescent="0.35">
      <c r="A493" t="s">
        <v>3</v>
      </c>
      <c r="B493" s="20">
        <f>Table_supermarket_sales___Sheet1[[#This Row],[Cost Price]]+Table57[[#This Row],[Markup Cost]]</f>
        <v>29.490000000000002</v>
      </c>
      <c r="C493">
        <v>10</v>
      </c>
      <c r="D493" s="21">
        <f>Table4[[#This Row],[Selling Price]]-Table_supermarket_sales___Sheet1[[#This Row],[Cost Price]]</f>
        <v>9.8300000000000018</v>
      </c>
    </row>
    <row r="494" spans="1:4" x14ac:dyDescent="0.35">
      <c r="A494" t="s">
        <v>5</v>
      </c>
      <c r="B494" s="20">
        <f>Table_supermarket_sales___Sheet1[[#This Row],[Cost Price]]+Table57[[#This Row],[Markup Cost]]</f>
        <v>35.448</v>
      </c>
      <c r="C494">
        <v>9</v>
      </c>
      <c r="D494" s="21">
        <f>Table4[[#This Row],[Selling Price]]-Table_supermarket_sales___Sheet1[[#This Row],[Cost Price]]</f>
        <v>10.128</v>
      </c>
    </row>
    <row r="495" spans="1:4" x14ac:dyDescent="0.35">
      <c r="A495" t="s">
        <v>6</v>
      </c>
      <c r="B495" s="20">
        <f>Table_supermarket_sales___Sheet1[[#This Row],[Cost Price]]+Table57[[#This Row],[Markup Cost]]</f>
        <v>18.18</v>
      </c>
      <c r="C495">
        <v>8</v>
      </c>
      <c r="D495" s="21">
        <f>Table4[[#This Row],[Selling Price]]-Table_supermarket_sales___Sheet1[[#This Row],[Cost Price]]</f>
        <v>6.0600000000000005</v>
      </c>
    </row>
    <row r="496" spans="1:4" x14ac:dyDescent="0.35">
      <c r="A496" t="s">
        <v>6</v>
      </c>
      <c r="B496" s="20">
        <f>Table_supermarket_sales___Sheet1[[#This Row],[Cost Price]]+Table57[[#This Row],[Markup Cost]]</f>
        <v>109.879</v>
      </c>
      <c r="C496">
        <v>4</v>
      </c>
      <c r="D496" s="21">
        <f>Table4[[#This Row],[Selling Price]]-Table_supermarket_sales___Sheet1[[#This Row],[Cost Price]]</f>
        <v>9.9890000000000043</v>
      </c>
    </row>
    <row r="497" spans="1:4" x14ac:dyDescent="0.35">
      <c r="A497" t="s">
        <v>3</v>
      </c>
      <c r="B497" s="20">
        <f>Table_supermarket_sales___Sheet1[[#This Row],[Cost Price]]+Table57[[#This Row],[Markup Cost]]</f>
        <v>106.288</v>
      </c>
      <c r="C497">
        <v>3</v>
      </c>
      <c r="D497" s="21">
        <f>Table4[[#This Row],[Selling Price]]-Table_supermarket_sales___Sheet1[[#This Row],[Cost Price]]</f>
        <v>30.367999999999995</v>
      </c>
    </row>
    <row r="498" spans="1:4" x14ac:dyDescent="0.35">
      <c r="A498" t="s">
        <v>4</v>
      </c>
      <c r="B498" s="20">
        <f>Table_supermarket_sales___Sheet1[[#This Row],[Cost Price]]+Table57[[#This Row],[Markup Cost]]</f>
        <v>69.542000000000002</v>
      </c>
      <c r="C498">
        <v>7</v>
      </c>
      <c r="D498" s="21">
        <f>Table4[[#This Row],[Selling Price]]-Table_supermarket_sales___Sheet1[[#This Row],[Cost Price]]</f>
        <v>6.3220000000000027</v>
      </c>
    </row>
    <row r="499" spans="1:4" x14ac:dyDescent="0.35">
      <c r="A499" t="s">
        <v>1</v>
      </c>
      <c r="B499" s="20">
        <f>Table_supermarket_sales___Sheet1[[#This Row],[Cost Price]]+Table57[[#This Row],[Markup Cost]]</f>
        <v>117.312</v>
      </c>
      <c r="C499">
        <v>3</v>
      </c>
      <c r="D499" s="21">
        <f>Table4[[#This Row],[Selling Price]]-Table_supermarket_sales___Sheet1[[#This Row],[Cost Price]]</f>
        <v>27.072000000000003</v>
      </c>
    </row>
    <row r="500" spans="1:4" x14ac:dyDescent="0.35">
      <c r="A500" t="s">
        <v>5</v>
      </c>
      <c r="B500" s="20">
        <f>Table_supermarket_sales___Sheet1[[#This Row],[Cost Price]]+Table57[[#This Row],[Markup Cost]]</f>
        <v>103.03649999999999</v>
      </c>
      <c r="C500">
        <v>8</v>
      </c>
      <c r="D500" s="21">
        <f>Table4[[#This Row],[Selling Price]]-Table_supermarket_sales___Sheet1[[#This Row],[Cost Price]]</f>
        <v>4.9064999999999941</v>
      </c>
    </row>
    <row r="501" spans="1:4" x14ac:dyDescent="0.35">
      <c r="A501" t="s">
        <v>6</v>
      </c>
      <c r="B501" s="20">
        <f>Table_supermarket_sales___Sheet1[[#This Row],[Cost Price]]+Table57[[#This Row],[Markup Cost]]</f>
        <v>72.128</v>
      </c>
      <c r="C501">
        <v>1</v>
      </c>
      <c r="D501" s="21">
        <f>Table4[[#This Row],[Selling Price]]-Table_supermarket_sales___Sheet1[[#This Row],[Cost Price]]</f>
        <v>20.607999999999997</v>
      </c>
    </row>
    <row r="502" spans="1:4" x14ac:dyDescent="0.35">
      <c r="A502" t="s">
        <v>4</v>
      </c>
      <c r="B502" s="20">
        <f>Table_supermarket_sales___Sheet1[[#This Row],[Cost Price]]+Table57[[#This Row],[Markup Cost]]</f>
        <v>77.668499999999995</v>
      </c>
      <c r="C502">
        <v>9</v>
      </c>
      <c r="D502" s="21">
        <f>Table4[[#This Row],[Selling Price]]-Table_supermarket_sales___Sheet1[[#This Row],[Cost Price]]</f>
        <v>3.6984999999999957</v>
      </c>
    </row>
    <row r="503" spans="1:4" x14ac:dyDescent="0.35">
      <c r="A503" t="s">
        <v>6</v>
      </c>
      <c r="B503" s="20">
        <f>Table_supermarket_sales___Sheet1[[#This Row],[Cost Price]]+Table57[[#This Row],[Markup Cost]]</f>
        <v>33.494999999999997</v>
      </c>
      <c r="C503">
        <v>1</v>
      </c>
      <c r="D503" s="21">
        <f>Table4[[#This Row],[Selling Price]]-Table_supermarket_sales___Sheet1[[#This Row],[Cost Price]]</f>
        <v>1.5949999999999989</v>
      </c>
    </row>
    <row r="504" spans="1:4" x14ac:dyDescent="0.35">
      <c r="A504" t="s">
        <v>6</v>
      </c>
      <c r="B504" s="20">
        <f>Table_supermarket_sales___Sheet1[[#This Row],[Cost Price]]+Table57[[#This Row],[Markup Cost]]</f>
        <v>76.34</v>
      </c>
      <c r="C504">
        <v>7</v>
      </c>
      <c r="D504" s="21">
        <f>Table4[[#This Row],[Selling Price]]-Table_supermarket_sales___Sheet1[[#This Row],[Cost Price]]</f>
        <v>6.9399999999999977</v>
      </c>
    </row>
    <row r="505" spans="1:4" x14ac:dyDescent="0.35">
      <c r="A505" t="s">
        <v>3</v>
      </c>
      <c r="B505" s="20">
        <f>Table_supermarket_sales___Sheet1[[#This Row],[Cost Price]]+Table57[[#This Row],[Markup Cost]]</f>
        <v>102.64100000000001</v>
      </c>
      <c r="C505">
        <v>4</v>
      </c>
      <c r="D505" s="21">
        <f>Table4[[#This Row],[Selling Price]]-Table_supermarket_sales___Sheet1[[#This Row],[Cost Price]]</f>
        <v>9.3310000000000031</v>
      </c>
    </row>
    <row r="506" spans="1:4" x14ac:dyDescent="0.35">
      <c r="A506" t="s">
        <v>1</v>
      </c>
      <c r="B506" s="20">
        <f>Table_supermarket_sales___Sheet1[[#This Row],[Cost Price]]+Table57[[#This Row],[Markup Cost]]</f>
        <v>92.872500000000002</v>
      </c>
      <c r="C506">
        <v>8</v>
      </c>
      <c r="D506" s="21">
        <f>Table4[[#This Row],[Selling Price]]-Table_supermarket_sales___Sheet1[[#This Row],[Cost Price]]</f>
        <v>4.4224999999999994</v>
      </c>
    </row>
    <row r="507" spans="1:4" x14ac:dyDescent="0.35">
      <c r="A507" t="s">
        <v>1</v>
      </c>
      <c r="B507" s="20">
        <f>Table_supermarket_sales___Sheet1[[#This Row],[Cost Price]]+Table57[[#This Row],[Markup Cost]]</f>
        <v>33.852000000000004</v>
      </c>
      <c r="C507">
        <v>7</v>
      </c>
      <c r="D507" s="21">
        <f>Table4[[#This Row],[Selling Price]]-Table_supermarket_sales___Sheet1[[#This Row],[Cost Price]]</f>
        <v>9.6720000000000041</v>
      </c>
    </row>
    <row r="508" spans="1:4" x14ac:dyDescent="0.35">
      <c r="A508" t="s">
        <v>4</v>
      </c>
      <c r="B508" s="20">
        <f>Table_supermarket_sales___Sheet1[[#This Row],[Cost Price]]+Table57[[#This Row],[Markup Cost]]</f>
        <v>55.774999999999999</v>
      </c>
      <c r="C508">
        <v>9</v>
      </c>
      <c r="D508" s="21">
        <f>Table4[[#This Row],[Selling Price]]-Table_supermarket_sales___Sheet1[[#This Row],[Cost Price]]</f>
        <v>7.2749999999999986</v>
      </c>
    </row>
    <row r="509" spans="1:4" x14ac:dyDescent="0.35">
      <c r="A509" t="s">
        <v>4</v>
      </c>
      <c r="B509" s="20">
        <f>Table_supermarket_sales___Sheet1[[#This Row],[Cost Price]]+Table57[[#This Row],[Markup Cost]]</f>
        <v>109.265</v>
      </c>
      <c r="C509">
        <v>3</v>
      </c>
      <c r="D509" s="21">
        <f>Table4[[#This Row],[Selling Price]]-Table_supermarket_sales___Sheet1[[#This Row],[Cost Price]]</f>
        <v>25.215000000000003</v>
      </c>
    </row>
    <row r="510" spans="1:4" x14ac:dyDescent="0.35">
      <c r="A510" t="s">
        <v>2</v>
      </c>
      <c r="B510" s="20">
        <f>Table_supermarket_sales___Sheet1[[#This Row],[Cost Price]]+Table57[[#This Row],[Markup Cost]]</f>
        <v>76.612499999999997</v>
      </c>
      <c r="C510">
        <v>3</v>
      </c>
      <c r="D510" s="21">
        <f>Table4[[#This Row],[Selling Price]]-Table_supermarket_sales___Sheet1[[#This Row],[Cost Price]]</f>
        <v>15.322499999999998</v>
      </c>
    </row>
    <row r="511" spans="1:4" x14ac:dyDescent="0.35">
      <c r="A511" t="s">
        <v>4</v>
      </c>
      <c r="B511" s="20">
        <f>Table_supermarket_sales___Sheet1[[#This Row],[Cost Price]]+Table57[[#This Row],[Markup Cost]]</f>
        <v>20.734999999999999</v>
      </c>
      <c r="C511">
        <v>5</v>
      </c>
      <c r="D511" s="21">
        <f>Table4[[#This Row],[Selling Price]]-Table_supermarket_sales___Sheet1[[#This Row],[Cost Price]]</f>
        <v>4.7850000000000001</v>
      </c>
    </row>
    <row r="512" spans="1:4" x14ac:dyDescent="0.35">
      <c r="A512" t="s">
        <v>6</v>
      </c>
      <c r="B512" s="20">
        <f>Table_supermarket_sales___Sheet1[[#This Row],[Cost Price]]+Table57[[#This Row],[Markup Cost]]</f>
        <v>122.499</v>
      </c>
      <c r="C512">
        <v>1</v>
      </c>
      <c r="D512" s="21">
        <f>Table4[[#This Row],[Selling Price]]-Table_supermarket_sales___Sheet1[[#This Row],[Cost Price]]</f>
        <v>31.759</v>
      </c>
    </row>
    <row r="513" spans="1:4" x14ac:dyDescent="0.35">
      <c r="A513" t="s">
        <v>1</v>
      </c>
      <c r="B513" s="20">
        <f>Table_supermarket_sales___Sheet1[[#This Row],[Cost Price]]+Table57[[#This Row],[Markup Cost]]</f>
        <v>53.637499999999996</v>
      </c>
      <c r="C513">
        <v>1</v>
      </c>
      <c r="D513" s="21">
        <f>Table4[[#This Row],[Selling Price]]-Table_supermarket_sales___Sheet1[[#This Row],[Cost Price]]</f>
        <v>10.727499999999999</v>
      </c>
    </row>
    <row r="514" spans="1:4" x14ac:dyDescent="0.35">
      <c r="A514" t="s">
        <v>3</v>
      </c>
      <c r="B514" s="20">
        <f>Table_supermarket_sales___Sheet1[[#This Row],[Cost Price]]+Table57[[#This Row],[Markup Cost]]</f>
        <v>73.278000000000006</v>
      </c>
      <c r="C514">
        <v>1</v>
      </c>
      <c r="D514" s="21">
        <f>Table4[[#This Row],[Selling Price]]-Table_supermarket_sales___Sheet1[[#This Row],[Cost Price]]</f>
        <v>18.998000000000005</v>
      </c>
    </row>
    <row r="515" spans="1:4" x14ac:dyDescent="0.35">
      <c r="A515" t="s">
        <v>1</v>
      </c>
      <c r="B515" s="20">
        <f>Table_supermarket_sales___Sheet1[[#This Row],[Cost Price]]+Table57[[#This Row],[Markup Cost]]</f>
        <v>134.39249999999998</v>
      </c>
      <c r="C515">
        <v>10</v>
      </c>
      <c r="D515" s="21">
        <f>Table4[[#This Row],[Selling Price]]-Table_supermarket_sales___Sheet1[[#This Row],[Cost Price]]</f>
        <v>34.842499999999987</v>
      </c>
    </row>
    <row r="516" spans="1:4" x14ac:dyDescent="0.35">
      <c r="A516" t="s">
        <v>4</v>
      </c>
      <c r="B516" s="20">
        <f>Table_supermarket_sales___Sheet1[[#This Row],[Cost Price]]+Table57[[#This Row],[Markup Cost]]</f>
        <v>78.826499999999996</v>
      </c>
      <c r="C516">
        <v>1</v>
      </c>
      <c r="D516" s="21">
        <f>Table4[[#This Row],[Selling Price]]-Table_supermarket_sales___Sheet1[[#This Row],[Cost Price]]</f>
        <v>20.436499999999995</v>
      </c>
    </row>
    <row r="517" spans="1:4" x14ac:dyDescent="0.35">
      <c r="A517" t="s">
        <v>3</v>
      </c>
      <c r="B517" s="20">
        <f>Table_supermarket_sales___Sheet1[[#This Row],[Cost Price]]+Table57[[#This Row],[Markup Cost]]</f>
        <v>54.043500000000002</v>
      </c>
      <c r="C517">
        <v>4</v>
      </c>
      <c r="D517" s="21">
        <f>Table4[[#This Row],[Selling Price]]-Table_supermarket_sales___Sheet1[[#This Row],[Cost Price]]</f>
        <v>2.5735000000000028</v>
      </c>
    </row>
    <row r="518" spans="1:4" x14ac:dyDescent="0.35">
      <c r="A518" t="s">
        <v>6</v>
      </c>
      <c r="B518" s="20">
        <f>Table_supermarket_sales___Sheet1[[#This Row],[Cost Price]]+Table57[[#This Row],[Markup Cost]]</f>
        <v>68.575000000000003</v>
      </c>
      <c r="C518">
        <v>8</v>
      </c>
      <c r="D518" s="21">
        <f>Table4[[#This Row],[Selling Price]]-Table_supermarket_sales___Sheet1[[#This Row],[Cost Price]]</f>
        <v>13.715000000000003</v>
      </c>
    </row>
    <row r="519" spans="1:4" x14ac:dyDescent="0.35">
      <c r="A519" t="s">
        <v>4</v>
      </c>
      <c r="B519" s="20">
        <f>Table_supermarket_sales___Sheet1[[#This Row],[Cost Price]]+Table57[[#This Row],[Markup Cost]]</f>
        <v>49.237499999999997</v>
      </c>
      <c r="C519">
        <v>4</v>
      </c>
      <c r="D519" s="21">
        <f>Table4[[#This Row],[Selling Price]]-Table_supermarket_sales___Sheet1[[#This Row],[Cost Price]]</f>
        <v>9.8474999999999966</v>
      </c>
    </row>
    <row r="520" spans="1:4" x14ac:dyDescent="0.35">
      <c r="A520" t="s">
        <v>6</v>
      </c>
      <c r="B520" s="20">
        <f>Table_supermarket_sales___Sheet1[[#This Row],[Cost Price]]+Table57[[#This Row],[Markup Cost]]</f>
        <v>38.202999999999996</v>
      </c>
      <c r="C520">
        <v>5</v>
      </c>
      <c r="D520" s="21">
        <f>Table4[[#This Row],[Selling Price]]-Table_supermarket_sales___Sheet1[[#This Row],[Cost Price]]</f>
        <v>3.472999999999999</v>
      </c>
    </row>
    <row r="521" spans="1:4" x14ac:dyDescent="0.35">
      <c r="A521" t="s">
        <v>2</v>
      </c>
      <c r="B521" s="20">
        <f>Table_supermarket_sales___Sheet1[[#This Row],[Cost Price]]+Table57[[#This Row],[Markup Cost]]</f>
        <v>89.9</v>
      </c>
      <c r="C521">
        <v>7</v>
      </c>
      <c r="D521" s="21">
        <f>Table4[[#This Row],[Selling Price]]-Table_supermarket_sales___Sheet1[[#This Row],[Cost Price]]</f>
        <v>17.980000000000004</v>
      </c>
    </row>
    <row r="522" spans="1:4" x14ac:dyDescent="0.35">
      <c r="A522" t="s">
        <v>2</v>
      </c>
      <c r="B522" s="20">
        <f>Table_supermarket_sales___Sheet1[[#This Row],[Cost Price]]+Table57[[#This Row],[Markup Cost]]</f>
        <v>52.566499999999998</v>
      </c>
      <c r="C522">
        <v>4</v>
      </c>
      <c r="D522" s="21">
        <f>Table4[[#This Row],[Selling Price]]-Table_supermarket_sales___Sheet1[[#This Row],[Cost Price]]</f>
        <v>6.8564999999999969</v>
      </c>
    </row>
    <row r="523" spans="1:4" x14ac:dyDescent="0.35">
      <c r="A523" t="s">
        <v>2</v>
      </c>
      <c r="B523" s="20">
        <f>Table_supermarket_sales___Sheet1[[#This Row],[Cost Price]]+Table57[[#This Row],[Markup Cost]]</f>
        <v>108.12100000000001</v>
      </c>
      <c r="C523">
        <v>1</v>
      </c>
      <c r="D523" s="21">
        <f>Table4[[#This Row],[Selling Price]]-Table_supermarket_sales___Sheet1[[#This Row],[Cost Price]]</f>
        <v>24.951000000000008</v>
      </c>
    </row>
    <row r="524" spans="1:4" x14ac:dyDescent="0.35">
      <c r="A524" t="s">
        <v>3</v>
      </c>
      <c r="B524" s="20">
        <f>Table_supermarket_sales___Sheet1[[#This Row],[Cost Price]]+Table57[[#This Row],[Markup Cost]]</f>
        <v>48.671999999999997</v>
      </c>
      <c r="C524">
        <v>4</v>
      </c>
      <c r="D524" s="21">
        <f>Table4[[#This Row],[Selling Price]]-Table_supermarket_sales___Sheet1[[#This Row],[Cost Price]]</f>
        <v>11.231999999999999</v>
      </c>
    </row>
    <row r="525" spans="1:4" x14ac:dyDescent="0.35">
      <c r="A525" t="s">
        <v>5</v>
      </c>
      <c r="B525" s="20">
        <f>Table_supermarket_sales___Sheet1[[#This Row],[Cost Price]]+Table57[[#This Row],[Markup Cost]]</f>
        <v>69.156999999999996</v>
      </c>
      <c r="C525">
        <v>2</v>
      </c>
      <c r="D525" s="21">
        <f>Table4[[#This Row],[Selling Price]]-Table_supermarket_sales___Sheet1[[#This Row],[Cost Price]]</f>
        <v>6.286999999999999</v>
      </c>
    </row>
    <row r="526" spans="1:4" x14ac:dyDescent="0.35">
      <c r="A526" t="s">
        <v>5</v>
      </c>
      <c r="B526" s="20">
        <f>Table_supermarket_sales___Sheet1[[#This Row],[Cost Price]]+Table57[[#This Row],[Markup Cost]]</f>
        <v>106.223</v>
      </c>
      <c r="C526">
        <v>8</v>
      </c>
      <c r="D526" s="21">
        <f>Table4[[#This Row],[Selling Price]]-Table_supermarket_sales___Sheet1[[#This Row],[Cost Price]]</f>
        <v>24.513000000000005</v>
      </c>
    </row>
    <row r="527" spans="1:4" x14ac:dyDescent="0.35">
      <c r="A527" t="s">
        <v>4</v>
      </c>
      <c r="B527" s="20">
        <f>Table_supermarket_sales___Sheet1[[#This Row],[Cost Price]]+Table57[[#This Row],[Markup Cost]]</f>
        <v>114.26249999999999</v>
      </c>
      <c r="C527">
        <v>10</v>
      </c>
      <c r="D527" s="21">
        <f>Table4[[#This Row],[Selling Price]]-Table_supermarket_sales___Sheet1[[#This Row],[Cost Price]]</f>
        <v>22.852499999999992</v>
      </c>
    </row>
    <row r="528" spans="1:4" x14ac:dyDescent="0.35">
      <c r="A528" t="s">
        <v>4</v>
      </c>
      <c r="B528" s="20">
        <f>Table_supermarket_sales___Sheet1[[#This Row],[Cost Price]]+Table57[[#This Row],[Markup Cost]]</f>
        <v>47.052</v>
      </c>
      <c r="C528">
        <v>9</v>
      </c>
      <c r="D528" s="21">
        <f>Table4[[#This Row],[Selling Price]]-Table_supermarket_sales___Sheet1[[#This Row],[Cost Price]]</f>
        <v>7.8419999999999987</v>
      </c>
    </row>
    <row r="529" spans="1:4" x14ac:dyDescent="0.35">
      <c r="A529" t="s">
        <v>1</v>
      </c>
      <c r="B529" s="20">
        <f>Table_supermarket_sales___Sheet1[[#This Row],[Cost Price]]+Table57[[#This Row],[Markup Cost]]</f>
        <v>65.846000000000004</v>
      </c>
      <c r="C529">
        <v>4</v>
      </c>
      <c r="D529" s="21">
        <f>Table4[[#This Row],[Selling Price]]-Table_supermarket_sales___Sheet1[[#This Row],[Cost Price]]</f>
        <v>5.9860000000000042</v>
      </c>
    </row>
    <row r="530" spans="1:4" x14ac:dyDescent="0.35">
      <c r="A530" t="s">
        <v>2</v>
      </c>
      <c r="B530" s="20">
        <f>Table_supermarket_sales___Sheet1[[#This Row],[Cost Price]]+Table57[[#This Row],[Markup Cost]]</f>
        <v>81.539999999999992</v>
      </c>
      <c r="C530">
        <v>8</v>
      </c>
      <c r="D530" s="21">
        <f>Table4[[#This Row],[Selling Price]]-Table_supermarket_sales___Sheet1[[#This Row],[Cost Price]]</f>
        <v>27.179999999999993</v>
      </c>
    </row>
    <row r="531" spans="1:4" x14ac:dyDescent="0.35">
      <c r="A531" t="s">
        <v>4</v>
      </c>
      <c r="B531" s="20">
        <f>Table_supermarket_sales___Sheet1[[#This Row],[Cost Price]]+Table57[[#This Row],[Markup Cost]]</f>
        <v>142.23050000000001</v>
      </c>
      <c r="C531">
        <v>9</v>
      </c>
      <c r="D531" s="21">
        <f>Table4[[#This Row],[Selling Price]]-Table_supermarket_sales___Sheet1[[#This Row],[Cost Price]]</f>
        <v>44.140500000000003</v>
      </c>
    </row>
    <row r="532" spans="1:4" x14ac:dyDescent="0.35">
      <c r="A532" t="s">
        <v>1</v>
      </c>
      <c r="B532" s="20">
        <f>Table_supermarket_sales___Sheet1[[#This Row],[Cost Price]]+Table57[[#This Row],[Markup Cost]]</f>
        <v>33.058999999999997</v>
      </c>
      <c r="C532">
        <v>2</v>
      </c>
      <c r="D532" s="21">
        <f>Table4[[#This Row],[Selling Price]]-Table_supermarket_sales___Sheet1[[#This Row],[Cost Price]]</f>
        <v>7.6289999999999978</v>
      </c>
    </row>
    <row r="533" spans="1:4" x14ac:dyDescent="0.35">
      <c r="A533" t="s">
        <v>4</v>
      </c>
      <c r="B533" s="20">
        <f>Table_supermarket_sales___Sheet1[[#This Row],[Cost Price]]+Table57[[#This Row],[Markup Cost]]</f>
        <v>121.352</v>
      </c>
      <c r="C533">
        <v>1</v>
      </c>
      <c r="D533" s="21">
        <f>Table4[[#This Row],[Selling Price]]-Table_supermarket_sales___Sheet1[[#This Row],[Cost Price]]</f>
        <v>34.671999999999997</v>
      </c>
    </row>
    <row r="534" spans="1:4" x14ac:dyDescent="0.35">
      <c r="A534" t="s">
        <v>5</v>
      </c>
      <c r="B534" s="20">
        <f>Table_supermarket_sales___Sheet1[[#This Row],[Cost Price]]+Table57[[#This Row],[Markup Cost]]</f>
        <v>34.424999999999997</v>
      </c>
      <c r="C534">
        <v>2</v>
      </c>
      <c r="D534" s="21">
        <f>Table4[[#This Row],[Selling Price]]-Table_supermarket_sales___Sheet1[[#This Row],[Cost Price]]</f>
        <v>11.474999999999998</v>
      </c>
    </row>
    <row r="535" spans="1:4" x14ac:dyDescent="0.35">
      <c r="A535" t="s">
        <v>5</v>
      </c>
      <c r="B535" s="20">
        <f>Table_supermarket_sales___Sheet1[[#This Row],[Cost Price]]+Table57[[#This Row],[Markup Cost]]</f>
        <v>23.6495</v>
      </c>
      <c r="C535">
        <v>8</v>
      </c>
      <c r="D535" s="21">
        <f>Table4[[#This Row],[Selling Price]]-Table_supermarket_sales___Sheet1[[#This Row],[Cost Price]]</f>
        <v>7.339500000000001</v>
      </c>
    </row>
    <row r="536" spans="1:4" x14ac:dyDescent="0.35">
      <c r="A536" t="s">
        <v>3</v>
      </c>
      <c r="B536" s="20">
        <f>Table_supermarket_sales___Sheet1[[#This Row],[Cost Price]]+Table57[[#This Row],[Markup Cost]]</f>
        <v>35.4</v>
      </c>
      <c r="C536">
        <v>1</v>
      </c>
      <c r="D536" s="21">
        <f>Table4[[#This Row],[Selling Price]]-Table_supermarket_sales___Sheet1[[#This Row],[Cost Price]]</f>
        <v>7.0799999999999983</v>
      </c>
    </row>
    <row r="537" spans="1:4" x14ac:dyDescent="0.35">
      <c r="A537" t="s">
        <v>5</v>
      </c>
      <c r="B537" s="20">
        <f>Table_supermarket_sales___Sheet1[[#This Row],[Cost Price]]+Table57[[#This Row],[Markup Cost]]</f>
        <v>22.5045</v>
      </c>
      <c r="C537">
        <v>5</v>
      </c>
      <c r="D537" s="21">
        <f>Table4[[#This Row],[Selling Price]]-Table_supermarket_sales___Sheet1[[#This Row],[Cost Price]]</f>
        <v>5.8344999999999985</v>
      </c>
    </row>
    <row r="538" spans="1:4" x14ac:dyDescent="0.35">
      <c r="A538" t="s">
        <v>2</v>
      </c>
      <c r="B538" s="20">
        <f>Table_supermarket_sales___Sheet1[[#This Row],[Cost Price]]+Table57[[#This Row],[Markup Cost]]</f>
        <v>77.657999999999987</v>
      </c>
      <c r="C538">
        <v>10</v>
      </c>
      <c r="D538" s="21">
        <f>Table4[[#This Row],[Selling Price]]-Table_supermarket_sales___Sheet1[[#This Row],[Cost Price]]</f>
        <v>3.6979999999999933</v>
      </c>
    </row>
    <row r="539" spans="1:4" x14ac:dyDescent="0.35">
      <c r="A539" t="s">
        <v>6</v>
      </c>
      <c r="B539" s="20">
        <f>Table_supermarket_sales___Sheet1[[#This Row],[Cost Price]]+Table57[[#This Row],[Markup Cost]]</f>
        <v>102.837</v>
      </c>
      <c r="C539">
        <v>1</v>
      </c>
      <c r="D539" s="21">
        <f>Table4[[#This Row],[Selling Price]]-Table_supermarket_sales___Sheet1[[#This Row],[Cost Price]]</f>
        <v>4.8970000000000056</v>
      </c>
    </row>
    <row r="540" spans="1:4" x14ac:dyDescent="0.35">
      <c r="A540" t="s">
        <v>1</v>
      </c>
      <c r="B540" s="20">
        <f>Table_supermarket_sales___Sheet1[[#This Row],[Cost Price]]+Table57[[#This Row],[Markup Cost]]</f>
        <v>87.66</v>
      </c>
      <c r="C540">
        <v>8</v>
      </c>
      <c r="D540" s="21">
        <f>Table4[[#This Row],[Selling Price]]-Table_supermarket_sales___Sheet1[[#This Row],[Cost Price]]</f>
        <v>14.61</v>
      </c>
    </row>
    <row r="541" spans="1:4" x14ac:dyDescent="0.35">
      <c r="A541" t="s">
        <v>4</v>
      </c>
      <c r="B541" s="20">
        <f>Table_supermarket_sales___Sheet1[[#This Row],[Cost Price]]+Table57[[#This Row],[Markup Cost]]</f>
        <v>113.724</v>
      </c>
      <c r="C541">
        <v>7</v>
      </c>
      <c r="D541" s="21">
        <f>Table4[[#This Row],[Selling Price]]-Table_supermarket_sales___Sheet1[[#This Row],[Cost Price]]</f>
        <v>26.244</v>
      </c>
    </row>
    <row r="542" spans="1:4" x14ac:dyDescent="0.35">
      <c r="A542" t="s">
        <v>6</v>
      </c>
      <c r="B542" s="20">
        <f>Table_supermarket_sales___Sheet1[[#This Row],[Cost Price]]+Table57[[#This Row],[Markup Cost]]</f>
        <v>35.281999999999996</v>
      </c>
      <c r="C542">
        <v>10</v>
      </c>
      <c r="D542" s="21">
        <f>Table4[[#This Row],[Selling Price]]-Table_supermarket_sales___Sheet1[[#This Row],[Cost Price]]</f>
        <v>4.6019999999999968</v>
      </c>
    </row>
    <row r="543" spans="1:4" x14ac:dyDescent="0.35">
      <c r="A543" t="s">
        <v>2</v>
      </c>
      <c r="B543" s="20">
        <f>Table_supermarket_sales___Sheet1[[#This Row],[Cost Price]]+Table57[[#This Row],[Markup Cost]]</f>
        <v>79.673999999999992</v>
      </c>
      <c r="C543">
        <v>4</v>
      </c>
      <c r="D543" s="21">
        <f>Table4[[#This Row],[Selling Price]]-Table_supermarket_sales___Sheet1[[#This Row],[Cost Price]]</f>
        <v>3.7939999999999969</v>
      </c>
    </row>
    <row r="544" spans="1:4" x14ac:dyDescent="0.35">
      <c r="A544" t="s">
        <v>1</v>
      </c>
      <c r="B544" s="20">
        <f>Table_supermarket_sales___Sheet1[[#This Row],[Cost Price]]+Table57[[#This Row],[Markup Cost]]</f>
        <v>24.216000000000001</v>
      </c>
      <c r="C544">
        <v>5</v>
      </c>
      <c r="D544" s="21">
        <f>Table4[[#This Row],[Selling Price]]-Table_supermarket_sales___Sheet1[[#This Row],[Cost Price]]</f>
        <v>4.0360000000000014</v>
      </c>
    </row>
    <row r="545" spans="1:4" x14ac:dyDescent="0.35">
      <c r="A545" t="s">
        <v>5</v>
      </c>
      <c r="B545" s="20">
        <f>Table_supermarket_sales___Sheet1[[#This Row],[Cost Price]]+Table57[[#This Row],[Markup Cost]]</f>
        <v>24.401</v>
      </c>
      <c r="C545">
        <v>5</v>
      </c>
      <c r="D545" s="21">
        <f>Table4[[#This Row],[Selling Price]]-Table_supermarket_sales___Sheet1[[#This Row],[Cost Price]]</f>
        <v>5.6310000000000002</v>
      </c>
    </row>
    <row r="546" spans="1:4" x14ac:dyDescent="0.35">
      <c r="A546" t="s">
        <v>6</v>
      </c>
      <c r="B546" s="20">
        <f>Table_supermarket_sales___Sheet1[[#This Row],[Cost Price]]+Table57[[#This Row],[Markup Cost]]</f>
        <v>74.760000000000005</v>
      </c>
      <c r="C546">
        <v>4</v>
      </c>
      <c r="D546" s="21">
        <f>Table4[[#This Row],[Selling Price]]-Table_supermarket_sales___Sheet1[[#This Row],[Cost Price]]</f>
        <v>3.5600000000000023</v>
      </c>
    </row>
    <row r="547" spans="1:4" x14ac:dyDescent="0.35">
      <c r="A547" t="s">
        <v>2</v>
      </c>
      <c r="B547" s="20">
        <f>Table_supermarket_sales___Sheet1[[#This Row],[Cost Price]]+Table57[[#This Row],[Markup Cost]]</f>
        <v>46.572000000000003</v>
      </c>
      <c r="C547">
        <v>1</v>
      </c>
      <c r="D547" s="21">
        <f>Table4[[#This Row],[Selling Price]]-Table_supermarket_sales___Sheet1[[#This Row],[Cost Price]]</f>
        <v>7.7620000000000005</v>
      </c>
    </row>
    <row r="548" spans="1:4" x14ac:dyDescent="0.35">
      <c r="A548" t="s">
        <v>1</v>
      </c>
      <c r="B548" s="20">
        <f>Table_supermarket_sales___Sheet1[[#This Row],[Cost Price]]+Table57[[#This Row],[Markup Cost]]</f>
        <v>44.13</v>
      </c>
      <c r="C548">
        <v>5</v>
      </c>
      <c r="D548" s="21">
        <f>Table4[[#This Row],[Selling Price]]-Table_supermarket_sales___Sheet1[[#This Row],[Cost Price]]</f>
        <v>14.71</v>
      </c>
    </row>
    <row r="549" spans="1:4" x14ac:dyDescent="0.35">
      <c r="A549" t="s">
        <v>4</v>
      </c>
      <c r="B549" s="20">
        <f>Table_supermarket_sales___Sheet1[[#This Row],[Cost Price]]+Table57[[#This Row],[Markup Cost]]</f>
        <v>88.377499999999998</v>
      </c>
      <c r="C549">
        <v>10</v>
      </c>
      <c r="D549" s="21">
        <f>Table4[[#This Row],[Selling Price]]-Table_supermarket_sales___Sheet1[[#This Row],[Cost Price]]</f>
        <v>27.427499999999995</v>
      </c>
    </row>
    <row r="550" spans="1:4" x14ac:dyDescent="0.35">
      <c r="A550" t="s">
        <v>1</v>
      </c>
      <c r="B550" s="20">
        <f>Table_supermarket_sales___Sheet1[[#This Row],[Cost Price]]+Table57[[#This Row],[Markup Cost]]</f>
        <v>64.424999999999997</v>
      </c>
      <c r="C550">
        <v>10</v>
      </c>
      <c r="D550" s="21">
        <f>Table4[[#This Row],[Selling Price]]-Table_supermarket_sales___Sheet1[[#This Row],[Cost Price]]</f>
        <v>12.884999999999998</v>
      </c>
    </row>
    <row r="551" spans="1:4" x14ac:dyDescent="0.35">
      <c r="A551" t="s">
        <v>6</v>
      </c>
      <c r="B551" s="20">
        <f>Table_supermarket_sales___Sheet1[[#This Row],[Cost Price]]+Table57[[#This Row],[Markup Cost]]</f>
        <v>85.878</v>
      </c>
      <c r="C551">
        <v>4</v>
      </c>
      <c r="D551" s="21">
        <f>Table4[[#This Row],[Selling Price]]-Table_supermarket_sales___Sheet1[[#This Row],[Cost Price]]</f>
        <v>19.817999999999998</v>
      </c>
    </row>
    <row r="552" spans="1:4" x14ac:dyDescent="0.35">
      <c r="A552" t="s">
        <v>1</v>
      </c>
      <c r="B552" s="20">
        <f>Table_supermarket_sales___Sheet1[[#This Row],[Cost Price]]+Table57[[#This Row],[Markup Cost]]</f>
        <v>65.860500000000002</v>
      </c>
      <c r="C552">
        <v>2</v>
      </c>
      <c r="D552" s="21">
        <f>Table4[[#This Row],[Selling Price]]-Table_supermarket_sales___Sheet1[[#This Row],[Cost Price]]</f>
        <v>8.5904999999999987</v>
      </c>
    </row>
    <row r="553" spans="1:4" x14ac:dyDescent="0.35">
      <c r="A553" t="s">
        <v>3</v>
      </c>
      <c r="B553" s="20">
        <f>Table_supermarket_sales___Sheet1[[#This Row],[Cost Price]]+Table57[[#This Row],[Markup Cost]]</f>
        <v>78.749499999999998</v>
      </c>
      <c r="C553">
        <v>5</v>
      </c>
      <c r="D553" s="21">
        <f>Table4[[#This Row],[Selling Price]]-Table_supermarket_sales___Sheet1[[#This Row],[Cost Price]]</f>
        <v>24.439499999999995</v>
      </c>
    </row>
    <row r="554" spans="1:4" x14ac:dyDescent="0.35">
      <c r="A554" t="s">
        <v>3</v>
      </c>
      <c r="B554" s="20">
        <f>Table_supermarket_sales___Sheet1[[#This Row],[Cost Price]]+Table57[[#This Row],[Markup Cost]]</f>
        <v>84.448000000000008</v>
      </c>
      <c r="C554">
        <v>6</v>
      </c>
      <c r="D554" s="21">
        <f>Table4[[#This Row],[Selling Price]]-Table_supermarket_sales___Sheet1[[#This Row],[Cost Price]]</f>
        <v>26.208000000000006</v>
      </c>
    </row>
    <row r="555" spans="1:4" x14ac:dyDescent="0.35">
      <c r="A555" t="s">
        <v>2</v>
      </c>
      <c r="B555" s="20">
        <f>Table_supermarket_sales___Sheet1[[#This Row],[Cost Price]]+Table57[[#This Row],[Markup Cost]]</f>
        <v>28.873000000000001</v>
      </c>
      <c r="C555">
        <v>10</v>
      </c>
      <c r="D555" s="21">
        <f>Table4[[#This Row],[Selling Price]]-Table_supermarket_sales___Sheet1[[#This Row],[Cost Price]]</f>
        <v>6.6630000000000003</v>
      </c>
    </row>
    <row r="556" spans="1:4" x14ac:dyDescent="0.35">
      <c r="A556" t="s">
        <v>2</v>
      </c>
      <c r="B556" s="20">
        <f>Table_supermarket_sales___Sheet1[[#This Row],[Cost Price]]+Table57[[#This Row],[Markup Cost]]</f>
        <v>26.082000000000001</v>
      </c>
      <c r="C556">
        <v>6</v>
      </c>
      <c r="D556" s="21">
        <f>Table4[[#This Row],[Selling Price]]-Table_supermarket_sales___Sheet1[[#This Row],[Cost Price]]</f>
        <v>6.7620000000000005</v>
      </c>
    </row>
    <row r="557" spans="1:4" x14ac:dyDescent="0.35">
      <c r="A557" t="s">
        <v>5</v>
      </c>
      <c r="B557" s="20">
        <f>Table_supermarket_sales___Sheet1[[#This Row],[Cost Price]]+Table57[[#This Row],[Markup Cost]]</f>
        <v>43.101999999999997</v>
      </c>
      <c r="C557">
        <v>6</v>
      </c>
      <c r="D557" s="21">
        <f>Table4[[#This Row],[Selling Price]]-Table_supermarket_sales___Sheet1[[#This Row],[Cost Price]]</f>
        <v>5.6219999999999999</v>
      </c>
    </row>
    <row r="558" spans="1:4" x14ac:dyDescent="0.35">
      <c r="A558" t="s">
        <v>5</v>
      </c>
      <c r="B558" s="20">
        <f>Table_supermarket_sales___Sheet1[[#This Row],[Cost Price]]+Table57[[#This Row],[Markup Cost]]</f>
        <v>79.244</v>
      </c>
      <c r="C558">
        <v>1</v>
      </c>
      <c r="D558" s="21">
        <f>Table4[[#This Row],[Selling Price]]-Table_supermarket_sales___Sheet1[[#This Row],[Cost Price]]</f>
        <v>7.2039999999999935</v>
      </c>
    </row>
    <row r="559" spans="1:4" x14ac:dyDescent="0.35">
      <c r="A559" t="s">
        <v>3</v>
      </c>
      <c r="B559" s="20">
        <f>Table_supermarket_sales___Sheet1[[#This Row],[Cost Price]]+Table57[[#This Row],[Markup Cost]]</f>
        <v>147.78</v>
      </c>
      <c r="C559">
        <v>7</v>
      </c>
      <c r="D559" s="21">
        <f>Table4[[#This Row],[Selling Price]]-Table_supermarket_sales___Sheet1[[#This Row],[Cost Price]]</f>
        <v>49.260000000000005</v>
      </c>
    </row>
    <row r="560" spans="1:4" x14ac:dyDescent="0.35">
      <c r="A560" t="s">
        <v>2</v>
      </c>
      <c r="B560" s="20">
        <f>Table_supermarket_sales___Sheet1[[#This Row],[Cost Price]]+Table57[[#This Row],[Markup Cost]]</f>
        <v>54.157999999999994</v>
      </c>
      <c r="C560">
        <v>9</v>
      </c>
      <c r="D560" s="21">
        <f>Table4[[#This Row],[Selling Price]]-Table_supermarket_sales___Sheet1[[#This Row],[Cost Price]]</f>
        <v>12.497999999999998</v>
      </c>
    </row>
    <row r="561" spans="1:4" x14ac:dyDescent="0.35">
      <c r="A561" t="s">
        <v>1</v>
      </c>
      <c r="B561" s="20">
        <f>Table_supermarket_sales___Sheet1[[#This Row],[Cost Price]]+Table57[[#This Row],[Markup Cost]]</f>
        <v>83.283000000000001</v>
      </c>
      <c r="C561">
        <v>1</v>
      </c>
      <c r="D561" s="21">
        <f>Table4[[#This Row],[Selling Price]]-Table_supermarket_sales___Sheet1[[#This Row],[Cost Price]]</f>
        <v>10.863</v>
      </c>
    </row>
    <row r="562" spans="1:4" x14ac:dyDescent="0.35">
      <c r="A562" t="s">
        <v>1</v>
      </c>
      <c r="B562" s="20">
        <f>Table_supermarket_sales___Sheet1[[#This Row],[Cost Price]]+Table57[[#This Row],[Markup Cost]]</f>
        <v>31.290999999999997</v>
      </c>
      <c r="C562">
        <v>6</v>
      </c>
      <c r="D562" s="21">
        <f>Table4[[#This Row],[Selling Price]]-Table_supermarket_sales___Sheet1[[#This Row],[Cost Price]]</f>
        <v>9.7109999999999985</v>
      </c>
    </row>
    <row r="563" spans="1:4" x14ac:dyDescent="0.35">
      <c r="A563" t="s">
        <v>2</v>
      </c>
      <c r="B563" s="20">
        <f>Table_supermarket_sales___Sheet1[[#This Row],[Cost Price]]+Table57[[#This Row],[Markup Cost]]</f>
        <v>133.80000000000001</v>
      </c>
      <c r="C563">
        <v>1</v>
      </c>
      <c r="D563" s="21">
        <f>Table4[[#This Row],[Selling Price]]-Table_supermarket_sales___Sheet1[[#This Row],[Cost Price]]</f>
        <v>44.600000000000009</v>
      </c>
    </row>
    <row r="564" spans="1:4" x14ac:dyDescent="0.35">
      <c r="A564" t="s">
        <v>5</v>
      </c>
      <c r="B564" s="20">
        <f>Table_supermarket_sales___Sheet1[[#This Row],[Cost Price]]+Table57[[#This Row],[Markup Cost]]</f>
        <v>59.388000000000005</v>
      </c>
      <c r="C564">
        <v>2</v>
      </c>
      <c r="D564" s="21">
        <f>Table4[[#This Row],[Selling Price]]-Table_supermarket_sales___Sheet1[[#This Row],[Cost Price]]</f>
        <v>16.968000000000004</v>
      </c>
    </row>
    <row r="565" spans="1:4" x14ac:dyDescent="0.35">
      <c r="A565" t="s">
        <v>5</v>
      </c>
      <c r="B565" s="20">
        <f>Table_supermarket_sales___Sheet1[[#This Row],[Cost Price]]+Table57[[#This Row],[Markup Cost]]</f>
        <v>96.863</v>
      </c>
      <c r="C565">
        <v>3</v>
      </c>
      <c r="D565" s="21">
        <f>Table4[[#This Row],[Selling Price]]-Table_supermarket_sales___Sheet1[[#This Row],[Cost Price]]</f>
        <v>22.352999999999994</v>
      </c>
    </row>
    <row r="566" spans="1:4" x14ac:dyDescent="0.35">
      <c r="A566" t="s">
        <v>6</v>
      </c>
      <c r="B566" s="20">
        <f>Table_supermarket_sales___Sheet1[[#This Row],[Cost Price]]+Table57[[#This Row],[Markup Cost]]</f>
        <v>109.175</v>
      </c>
      <c r="C566">
        <v>7</v>
      </c>
      <c r="D566" s="21">
        <f>Table4[[#This Row],[Selling Price]]-Table_supermarket_sales___Sheet1[[#This Row],[Cost Price]]</f>
        <v>9.9249999999999972</v>
      </c>
    </row>
    <row r="567" spans="1:4" x14ac:dyDescent="0.35">
      <c r="A567" t="s">
        <v>5</v>
      </c>
      <c r="B567" s="20">
        <f>Table_supermarket_sales___Sheet1[[#This Row],[Cost Price]]+Table57[[#This Row],[Markup Cost]]</f>
        <v>121.815</v>
      </c>
      <c r="C567">
        <v>5</v>
      </c>
      <c r="D567" s="21">
        <f>Table4[[#This Row],[Selling Price]]-Table_supermarket_sales___Sheet1[[#This Row],[Cost Price]]</f>
        <v>40.605000000000004</v>
      </c>
    </row>
    <row r="568" spans="1:4" x14ac:dyDescent="0.35">
      <c r="A568" t="s">
        <v>5</v>
      </c>
      <c r="B568" s="20">
        <f>Table_supermarket_sales___Sheet1[[#This Row],[Cost Price]]+Table57[[#This Row],[Markup Cost]]</f>
        <v>73.995000000000005</v>
      </c>
      <c r="C568">
        <v>4</v>
      </c>
      <c r="D568" s="21">
        <f>Table4[[#This Row],[Selling Price]]-Table_supermarket_sales___Sheet1[[#This Row],[Cost Price]]</f>
        <v>24.665000000000006</v>
      </c>
    </row>
    <row r="569" spans="1:4" x14ac:dyDescent="0.35">
      <c r="A569" t="s">
        <v>6</v>
      </c>
      <c r="B569" s="20">
        <f>Table_supermarket_sales___Sheet1[[#This Row],[Cost Price]]+Table57[[#This Row],[Markup Cost]]</f>
        <v>95.322999999999993</v>
      </c>
      <c r="C569">
        <v>10</v>
      </c>
      <c r="D569" s="21">
        <f>Table4[[#This Row],[Selling Price]]-Table_supermarket_sales___Sheet1[[#This Row],[Cost Price]]</f>
        <v>29.582999999999998</v>
      </c>
    </row>
    <row r="570" spans="1:4" x14ac:dyDescent="0.35">
      <c r="A570" t="s">
        <v>4</v>
      </c>
      <c r="B570" s="20">
        <f>Table_supermarket_sales___Sheet1[[#This Row],[Cost Price]]+Table57[[#This Row],[Markup Cost]]</f>
        <v>107.81100000000001</v>
      </c>
      <c r="C570">
        <v>7</v>
      </c>
      <c r="D570" s="21">
        <f>Table4[[#This Row],[Selling Price]]-Table_supermarket_sales___Sheet1[[#This Row],[Cost Price]]</f>
        <v>27.951000000000008</v>
      </c>
    </row>
    <row r="571" spans="1:4" x14ac:dyDescent="0.35">
      <c r="A571" t="s">
        <v>6</v>
      </c>
      <c r="B571" s="20">
        <f>Table_supermarket_sales___Sheet1[[#This Row],[Cost Price]]+Table57[[#This Row],[Markup Cost]]</f>
        <v>99.873000000000005</v>
      </c>
      <c r="C571">
        <v>7</v>
      </c>
      <c r="D571" s="21">
        <f>Table4[[#This Row],[Selling Price]]-Table_supermarket_sales___Sheet1[[#This Row],[Cost Price]]</f>
        <v>25.893000000000001</v>
      </c>
    </row>
    <row r="572" spans="1:4" x14ac:dyDescent="0.35">
      <c r="A572" t="s">
        <v>2</v>
      </c>
      <c r="B572" s="20">
        <f>Table_supermarket_sales___Sheet1[[#This Row],[Cost Price]]+Table57[[#This Row],[Markup Cost]]</f>
        <v>102.55000000000001</v>
      </c>
      <c r="C572">
        <v>10</v>
      </c>
      <c r="D572" s="21">
        <f>Table4[[#This Row],[Selling Price]]-Table_supermarket_sales___Sheet1[[#This Row],[Cost Price]]</f>
        <v>20.510000000000005</v>
      </c>
    </row>
    <row r="573" spans="1:4" x14ac:dyDescent="0.35">
      <c r="A573" t="s">
        <v>5</v>
      </c>
      <c r="B573" s="20">
        <f>Table_supermarket_sales___Sheet1[[#This Row],[Cost Price]]+Table57[[#This Row],[Markup Cost]]</f>
        <v>40.005000000000003</v>
      </c>
      <c r="C573">
        <v>6</v>
      </c>
      <c r="D573" s="21">
        <f>Table4[[#This Row],[Selling Price]]-Table_supermarket_sales___Sheet1[[#This Row],[Cost Price]]</f>
        <v>13.335000000000001</v>
      </c>
    </row>
    <row r="574" spans="1:4" x14ac:dyDescent="0.35">
      <c r="A574" t="s">
        <v>2</v>
      </c>
      <c r="B574" s="20">
        <f>Table_supermarket_sales___Sheet1[[#This Row],[Cost Price]]+Table57[[#This Row],[Markup Cost]]</f>
        <v>13.675500000000001</v>
      </c>
      <c r="C574">
        <v>3</v>
      </c>
      <c r="D574" s="21">
        <f>Table4[[#This Row],[Selling Price]]-Table_supermarket_sales___Sheet1[[#This Row],[Cost Price]]</f>
        <v>3.5455000000000005</v>
      </c>
    </row>
    <row r="575" spans="1:4" x14ac:dyDescent="0.35">
      <c r="A575" t="s">
        <v>1</v>
      </c>
      <c r="B575" s="20">
        <f>Table_supermarket_sales___Sheet1[[#This Row],[Cost Price]]+Table57[[#This Row],[Markup Cost]]</f>
        <v>79.629000000000005</v>
      </c>
      <c r="C575">
        <v>6</v>
      </c>
      <c r="D575" s="21">
        <f>Table4[[#This Row],[Selling Price]]-Table_supermarket_sales___Sheet1[[#This Row],[Cost Price]]</f>
        <v>7.2390000000000043</v>
      </c>
    </row>
    <row r="576" spans="1:4" x14ac:dyDescent="0.35">
      <c r="A576" t="s">
        <v>1</v>
      </c>
      <c r="B576" s="20">
        <f>Table_supermarket_sales___Sheet1[[#This Row],[Cost Price]]+Table57[[#This Row],[Markup Cost]]</f>
        <v>107.38749999999999</v>
      </c>
      <c r="C576">
        <v>3</v>
      </c>
      <c r="D576" s="21">
        <f>Table4[[#This Row],[Selling Price]]-Table_supermarket_sales___Sheet1[[#This Row],[Cost Price]]</f>
        <v>21.477499999999992</v>
      </c>
    </row>
    <row r="577" spans="1:4" x14ac:dyDescent="0.35">
      <c r="A577" t="s">
        <v>4</v>
      </c>
      <c r="B577" s="20">
        <f>Table_supermarket_sales___Sheet1[[#This Row],[Cost Price]]+Table57[[#This Row],[Markup Cost]]</f>
        <v>109.7685</v>
      </c>
      <c r="C577">
        <v>8</v>
      </c>
      <c r="D577" s="21">
        <f>Table4[[#This Row],[Selling Price]]-Table_supermarket_sales___Sheet1[[#This Row],[Cost Price]]</f>
        <v>28.458500000000001</v>
      </c>
    </row>
    <row r="578" spans="1:4" x14ac:dyDescent="0.35">
      <c r="A578" t="s">
        <v>5</v>
      </c>
      <c r="B578" s="20">
        <f>Table_supermarket_sales___Sheet1[[#This Row],[Cost Price]]+Table57[[#This Row],[Markup Cost]]</f>
        <v>72.36</v>
      </c>
      <c r="C578">
        <v>6</v>
      </c>
      <c r="D578" s="21">
        <f>Table4[[#This Row],[Selling Price]]-Table_supermarket_sales___Sheet1[[#This Row],[Cost Price]]</f>
        <v>12.060000000000002</v>
      </c>
    </row>
    <row r="579" spans="1:4" x14ac:dyDescent="0.35">
      <c r="A579" t="s">
        <v>3</v>
      </c>
      <c r="B579" s="20">
        <f>Table_supermarket_sales___Sheet1[[#This Row],[Cost Price]]+Table57[[#This Row],[Markup Cost]]</f>
        <v>38.124000000000002</v>
      </c>
      <c r="C579">
        <v>3</v>
      </c>
      <c r="D579" s="21">
        <f>Table4[[#This Row],[Selling Price]]-Table_supermarket_sales___Sheet1[[#This Row],[Cost Price]]</f>
        <v>6.3540000000000028</v>
      </c>
    </row>
    <row r="580" spans="1:4" x14ac:dyDescent="0.35">
      <c r="A580" t="s">
        <v>2</v>
      </c>
      <c r="B580" s="20">
        <f>Table_supermarket_sales___Sheet1[[#This Row],[Cost Price]]+Table57[[#This Row],[Markup Cost]]</f>
        <v>77.123999999999995</v>
      </c>
      <c r="C580">
        <v>7</v>
      </c>
      <c r="D580" s="21">
        <f>Table4[[#This Row],[Selling Price]]-Table_supermarket_sales___Sheet1[[#This Row],[Cost Price]]</f>
        <v>12.853999999999999</v>
      </c>
    </row>
    <row r="581" spans="1:4" x14ac:dyDescent="0.35">
      <c r="A581" t="s">
        <v>3</v>
      </c>
      <c r="B581" s="20">
        <f>Table_supermarket_sales___Sheet1[[#This Row],[Cost Price]]+Table57[[#This Row],[Markup Cost]]</f>
        <v>76.460999999999999</v>
      </c>
      <c r="C581">
        <v>5</v>
      </c>
      <c r="D581" s="21">
        <f>Table4[[#This Row],[Selling Price]]-Table_supermarket_sales___Sheet1[[#This Row],[Cost Price]]</f>
        <v>6.9509999999999934</v>
      </c>
    </row>
    <row r="582" spans="1:4" x14ac:dyDescent="0.35">
      <c r="A582" t="s">
        <v>2</v>
      </c>
      <c r="B582" s="20">
        <f>Table_supermarket_sales___Sheet1[[#This Row],[Cost Price]]+Table57[[#This Row],[Markup Cost]]</f>
        <v>31.302999999999997</v>
      </c>
      <c r="C582">
        <v>1</v>
      </c>
      <c r="D582" s="21">
        <f>Table4[[#This Row],[Selling Price]]-Table_supermarket_sales___Sheet1[[#This Row],[Cost Price]]</f>
        <v>4.0829999999999984</v>
      </c>
    </row>
    <row r="583" spans="1:4" x14ac:dyDescent="0.35">
      <c r="A583" t="s">
        <v>1</v>
      </c>
      <c r="B583" s="20">
        <f>Table_supermarket_sales___Sheet1[[#This Row],[Cost Price]]+Table57[[#This Row],[Markup Cost]]</f>
        <v>93.216000000000008</v>
      </c>
      <c r="C583">
        <v>5</v>
      </c>
      <c r="D583" s="21">
        <f>Table4[[#This Row],[Selling Price]]-Table_supermarket_sales___Sheet1[[#This Row],[Cost Price]]</f>
        <v>15.536000000000001</v>
      </c>
    </row>
    <row r="584" spans="1:4" x14ac:dyDescent="0.35">
      <c r="A584" t="s">
        <v>6</v>
      </c>
      <c r="B584" s="20">
        <f>Table_supermarket_sales___Sheet1[[#This Row],[Cost Price]]+Table57[[#This Row],[Markup Cost]]</f>
        <v>102.27800000000001</v>
      </c>
      <c r="C584">
        <v>2</v>
      </c>
      <c r="D584" s="21">
        <f>Table4[[#This Row],[Selling Price]]-Table_supermarket_sales___Sheet1[[#This Row],[Cost Price]]</f>
        <v>9.2980000000000018</v>
      </c>
    </row>
    <row r="585" spans="1:4" x14ac:dyDescent="0.35">
      <c r="A585" t="s">
        <v>5</v>
      </c>
      <c r="B585" s="20">
        <f>Table_supermarket_sales___Sheet1[[#This Row],[Cost Price]]+Table57[[#This Row],[Markup Cost]]</f>
        <v>21.695999999999998</v>
      </c>
      <c r="C585">
        <v>4</v>
      </c>
      <c r="D585" s="21">
        <f>Table4[[#This Row],[Selling Price]]-Table_supermarket_sales___Sheet1[[#This Row],[Cost Price]]</f>
        <v>3.6159999999999997</v>
      </c>
    </row>
    <row r="586" spans="1:4" x14ac:dyDescent="0.35">
      <c r="A586" t="s">
        <v>5</v>
      </c>
      <c r="B586" s="20">
        <f>Table_supermarket_sales___Sheet1[[#This Row],[Cost Price]]+Table57[[#This Row],[Markup Cost]]</f>
        <v>72.519000000000005</v>
      </c>
      <c r="C586">
        <v>6</v>
      </c>
      <c r="D586" s="21">
        <f>Table4[[#This Row],[Selling Price]]-Table_supermarket_sales___Sheet1[[#This Row],[Cost Price]]</f>
        <v>9.4590000000000032</v>
      </c>
    </row>
    <row r="587" spans="1:4" x14ac:dyDescent="0.35">
      <c r="A587" t="s">
        <v>4</v>
      </c>
      <c r="B587" s="20">
        <f>Table_supermarket_sales___Sheet1[[#This Row],[Cost Price]]+Table57[[#This Row],[Markup Cost]]</f>
        <v>62.052</v>
      </c>
      <c r="C587">
        <v>4</v>
      </c>
      <c r="D587" s="21">
        <f>Table4[[#This Row],[Selling Price]]-Table_supermarket_sales___Sheet1[[#This Row],[Cost Price]]</f>
        <v>10.341999999999999</v>
      </c>
    </row>
    <row r="588" spans="1:4" x14ac:dyDescent="0.35">
      <c r="A588" t="s">
        <v>4</v>
      </c>
      <c r="B588" s="20">
        <f>Table_supermarket_sales___Sheet1[[#This Row],[Cost Price]]+Table57[[#This Row],[Markup Cost]]</f>
        <v>60.191000000000003</v>
      </c>
      <c r="C588">
        <v>2</v>
      </c>
      <c r="D588" s="21">
        <f>Table4[[#This Row],[Selling Price]]-Table_supermarket_sales___Sheet1[[#This Row],[Cost Price]]</f>
        <v>7.8509999999999991</v>
      </c>
    </row>
    <row r="589" spans="1:4" x14ac:dyDescent="0.35">
      <c r="A589" t="s">
        <v>1</v>
      </c>
      <c r="B589" s="20">
        <f>Table_supermarket_sales___Sheet1[[#This Row],[Cost Price]]+Table57[[#This Row],[Markup Cost]]</f>
        <v>53.825000000000003</v>
      </c>
      <c r="C589">
        <v>1</v>
      </c>
      <c r="D589" s="21">
        <f>Table4[[#This Row],[Selling Price]]-Table_supermarket_sales___Sheet1[[#This Row],[Cost Price]]</f>
        <v>10.765000000000001</v>
      </c>
    </row>
    <row r="590" spans="1:4" x14ac:dyDescent="0.35">
      <c r="A590" t="s">
        <v>5</v>
      </c>
      <c r="B590" s="20">
        <f>Table_supermarket_sales___Sheet1[[#This Row],[Cost Price]]+Table57[[#This Row],[Markup Cost]]</f>
        <v>89.414999999999992</v>
      </c>
      <c r="C590">
        <v>6</v>
      </c>
      <c r="D590" s="21">
        <f>Table4[[#This Row],[Selling Price]]-Table_supermarket_sales___Sheet1[[#This Row],[Cost Price]]</f>
        <v>29.804999999999993</v>
      </c>
    </row>
    <row r="591" spans="1:4" x14ac:dyDescent="0.35">
      <c r="A591" t="s">
        <v>1</v>
      </c>
      <c r="B591" s="20">
        <f>Table_supermarket_sales___Sheet1[[#This Row],[Cost Price]]+Table57[[#This Row],[Markup Cost]]</f>
        <v>18.274999999999999</v>
      </c>
      <c r="C591">
        <v>9</v>
      </c>
      <c r="D591" s="21">
        <f>Table4[[#This Row],[Selling Price]]-Table_supermarket_sales___Sheet1[[#This Row],[Cost Price]]</f>
        <v>3.6549999999999994</v>
      </c>
    </row>
    <row r="592" spans="1:4" x14ac:dyDescent="0.35">
      <c r="A592" t="s">
        <v>1</v>
      </c>
      <c r="B592" s="20">
        <f>Table_supermarket_sales___Sheet1[[#This Row],[Cost Price]]+Table57[[#This Row],[Markup Cost]]</f>
        <v>60.489000000000004</v>
      </c>
      <c r="C592">
        <v>4</v>
      </c>
      <c r="D592" s="21">
        <f>Table4[[#This Row],[Selling Price]]-Table_supermarket_sales___Sheet1[[#This Row],[Cost Price]]</f>
        <v>13.959000000000003</v>
      </c>
    </row>
    <row r="593" spans="1:4" x14ac:dyDescent="0.35">
      <c r="A593" t="s">
        <v>2</v>
      </c>
      <c r="B593" s="20">
        <f>Table_supermarket_sales___Sheet1[[#This Row],[Cost Price]]+Table57[[#This Row],[Markup Cost]]</f>
        <v>32.723999999999997</v>
      </c>
      <c r="C593">
        <v>7</v>
      </c>
      <c r="D593" s="21">
        <f>Table4[[#This Row],[Selling Price]]-Table_supermarket_sales___Sheet1[[#This Row],[Cost Price]]</f>
        <v>8.4839999999999982</v>
      </c>
    </row>
    <row r="594" spans="1:4" x14ac:dyDescent="0.35">
      <c r="A594" t="s">
        <v>6</v>
      </c>
      <c r="B594" s="20">
        <f>Table_supermarket_sales___Sheet1[[#This Row],[Cost Price]]+Table57[[#This Row],[Markup Cost]]</f>
        <v>47.858999999999995</v>
      </c>
      <c r="C594">
        <v>8</v>
      </c>
      <c r="D594" s="21">
        <f>Table4[[#This Row],[Selling Price]]-Table_supermarket_sales___Sheet1[[#This Row],[Cost Price]]</f>
        <v>2.2789999999999964</v>
      </c>
    </row>
    <row r="595" spans="1:4" x14ac:dyDescent="0.35">
      <c r="A595" t="s">
        <v>4</v>
      </c>
      <c r="B595" s="20">
        <f>Table_supermarket_sales___Sheet1[[#This Row],[Cost Price]]+Table57[[#This Row],[Markup Cost]]</f>
        <v>86.48</v>
      </c>
      <c r="C595">
        <v>6</v>
      </c>
      <c r="D595" s="21">
        <f>Table4[[#This Row],[Selling Price]]-Table_supermarket_sales___Sheet1[[#This Row],[Cost Price]]</f>
        <v>11.280000000000001</v>
      </c>
    </row>
    <row r="596" spans="1:4" x14ac:dyDescent="0.35">
      <c r="A596" t="s">
        <v>3</v>
      </c>
      <c r="B596" s="20">
        <f>Table_supermarket_sales___Sheet1[[#This Row],[Cost Price]]+Table57[[#This Row],[Markup Cost]]</f>
        <v>111.32</v>
      </c>
      <c r="C596">
        <v>9</v>
      </c>
      <c r="D596" s="21">
        <f>Table4[[#This Row],[Selling Price]]-Table_supermarket_sales___Sheet1[[#This Row],[Cost Price]]</f>
        <v>14.519999999999996</v>
      </c>
    </row>
    <row r="597" spans="1:4" x14ac:dyDescent="0.35">
      <c r="A597" t="s">
        <v>6</v>
      </c>
      <c r="B597" s="20">
        <f>Table_supermarket_sales___Sheet1[[#This Row],[Cost Price]]+Table57[[#This Row],[Markup Cost]]</f>
        <v>17.042999999999999</v>
      </c>
      <c r="C597">
        <v>2</v>
      </c>
      <c r="D597" s="21">
        <f>Table4[[#This Row],[Selling Price]]-Table_supermarket_sales___Sheet1[[#This Row],[Cost Price]]</f>
        <v>2.222999999999999</v>
      </c>
    </row>
    <row r="598" spans="1:4" x14ac:dyDescent="0.35">
      <c r="A598" t="s">
        <v>5</v>
      </c>
      <c r="B598" s="20">
        <f>Table_supermarket_sales___Sheet1[[#This Row],[Cost Price]]+Table57[[#This Row],[Markup Cost]]</f>
        <v>60.03</v>
      </c>
      <c r="C598">
        <v>4</v>
      </c>
      <c r="D598" s="21">
        <f>Table4[[#This Row],[Selling Price]]-Table_supermarket_sales___Sheet1[[#This Row],[Cost Price]]</f>
        <v>7.8299999999999983</v>
      </c>
    </row>
    <row r="599" spans="1:4" x14ac:dyDescent="0.35">
      <c r="A599" t="s">
        <v>4</v>
      </c>
      <c r="B599" s="20">
        <f>Table_supermarket_sales___Sheet1[[#This Row],[Cost Price]]+Table57[[#This Row],[Markup Cost]]</f>
        <v>67.656999999999996</v>
      </c>
      <c r="C599">
        <v>4</v>
      </c>
      <c r="D599" s="21">
        <f>Table4[[#This Row],[Selling Price]]-Table_supermarket_sales___Sheet1[[#This Row],[Cost Price]]</f>
        <v>20.997</v>
      </c>
    </row>
    <row r="600" spans="1:4" x14ac:dyDescent="0.35">
      <c r="A600" t="s">
        <v>6</v>
      </c>
      <c r="B600" s="20">
        <f>Table_supermarket_sales___Sheet1[[#This Row],[Cost Price]]+Table57[[#This Row],[Markup Cost]]</f>
        <v>46.0625</v>
      </c>
      <c r="C600">
        <v>3</v>
      </c>
      <c r="D600" s="21">
        <f>Table4[[#This Row],[Selling Price]]-Table_supermarket_sales___Sheet1[[#This Row],[Cost Price]]</f>
        <v>9.2124999999999986</v>
      </c>
    </row>
    <row r="601" spans="1:4" x14ac:dyDescent="0.35">
      <c r="A601" t="s">
        <v>5</v>
      </c>
      <c r="B601" s="20">
        <f>Table_supermarket_sales___Sheet1[[#This Row],[Cost Price]]+Table57[[#This Row],[Markup Cost]]</f>
        <v>77.35199999999999</v>
      </c>
      <c r="C601">
        <v>9</v>
      </c>
      <c r="D601" s="21">
        <f>Table4[[#This Row],[Selling Price]]-Table_supermarket_sales___Sheet1[[#This Row],[Cost Price]]</f>
        <v>7.0319999999999965</v>
      </c>
    </row>
    <row r="602" spans="1:4" x14ac:dyDescent="0.35">
      <c r="A602" t="s">
        <v>1</v>
      </c>
      <c r="B602" s="20">
        <f>Table_supermarket_sales___Sheet1[[#This Row],[Cost Price]]+Table57[[#This Row],[Markup Cost]]</f>
        <v>87.233999999999995</v>
      </c>
      <c r="C602">
        <v>2</v>
      </c>
      <c r="D602" s="21">
        <f>Table4[[#This Row],[Selling Price]]-Table_supermarket_sales___Sheet1[[#This Row],[Cost Price]]</f>
        <v>4.1539999999999964</v>
      </c>
    </row>
    <row r="603" spans="1:4" x14ac:dyDescent="0.35">
      <c r="A603" t="s">
        <v>4</v>
      </c>
      <c r="B603" s="20">
        <f>Table_supermarket_sales___Sheet1[[#This Row],[Cost Price]]+Table57[[#This Row],[Markup Cost]]</f>
        <v>68.239499999999992</v>
      </c>
      <c r="C603">
        <v>4</v>
      </c>
      <c r="D603" s="21">
        <f>Table4[[#This Row],[Selling Price]]-Table_supermarket_sales___Sheet1[[#This Row],[Cost Price]]</f>
        <v>3.2494999999999976</v>
      </c>
    </row>
    <row r="604" spans="1:4" x14ac:dyDescent="0.35">
      <c r="A604" t="s">
        <v>6</v>
      </c>
      <c r="B604" s="20">
        <f>Table_supermarket_sales___Sheet1[[#This Row],[Cost Price]]+Table57[[#This Row],[Markup Cost]]</f>
        <v>116.34</v>
      </c>
      <c r="C604">
        <v>4</v>
      </c>
      <c r="D604" s="21">
        <f>Table4[[#This Row],[Selling Price]]-Table_supermarket_sales___Sheet1[[#This Row],[Cost Price]]</f>
        <v>38.78</v>
      </c>
    </row>
    <row r="605" spans="1:4" x14ac:dyDescent="0.35">
      <c r="A605" t="s">
        <v>6</v>
      </c>
      <c r="B605" s="20">
        <f>Table_supermarket_sales___Sheet1[[#This Row],[Cost Price]]+Table57[[#This Row],[Markup Cost]]</f>
        <v>70.863</v>
      </c>
      <c r="C605">
        <v>5</v>
      </c>
      <c r="D605" s="21">
        <f>Table4[[#This Row],[Selling Price]]-Table_supermarket_sales___Sheet1[[#This Row],[Cost Price]]</f>
        <v>16.353000000000002</v>
      </c>
    </row>
    <row r="606" spans="1:4" x14ac:dyDescent="0.35">
      <c r="A606" t="s">
        <v>2</v>
      </c>
      <c r="B606" s="20">
        <f>Table_supermarket_sales___Sheet1[[#This Row],[Cost Price]]+Table57[[#This Row],[Markup Cost]]</f>
        <v>70.051500000000004</v>
      </c>
      <c r="C606">
        <v>5</v>
      </c>
      <c r="D606" s="21">
        <f>Table4[[#This Row],[Selling Price]]-Table_supermarket_sales___Sheet1[[#This Row],[Cost Price]]</f>
        <v>18.161500000000004</v>
      </c>
    </row>
    <row r="607" spans="1:4" x14ac:dyDescent="0.35">
      <c r="A607" t="s">
        <v>3</v>
      </c>
      <c r="B607" s="20">
        <f>Table_supermarket_sales___Sheet1[[#This Row],[Cost Price]]+Table57[[#This Row],[Markup Cost]]</f>
        <v>38.1</v>
      </c>
      <c r="C607">
        <v>6</v>
      </c>
      <c r="D607" s="21">
        <f>Table4[[#This Row],[Selling Price]]-Table_supermarket_sales___Sheet1[[#This Row],[Cost Price]]</f>
        <v>6.3500000000000014</v>
      </c>
    </row>
    <row r="608" spans="1:4" x14ac:dyDescent="0.35">
      <c r="A608" t="s">
        <v>3</v>
      </c>
      <c r="B608" s="20">
        <f>Table_supermarket_sales___Sheet1[[#This Row],[Cost Price]]+Table57[[#This Row],[Markup Cost]]</f>
        <v>72.427499999999995</v>
      </c>
      <c r="C608">
        <v>10</v>
      </c>
      <c r="D608" s="21">
        <f>Table4[[#This Row],[Selling Price]]-Table_supermarket_sales___Sheet1[[#This Row],[Cost Price]]</f>
        <v>18.777499999999996</v>
      </c>
    </row>
    <row r="609" spans="1:4" x14ac:dyDescent="0.35">
      <c r="A609" t="s">
        <v>2</v>
      </c>
      <c r="B609" s="20">
        <f>Table_supermarket_sales___Sheet1[[#This Row],[Cost Price]]+Table57[[#This Row],[Markup Cost]]</f>
        <v>59.747999999999998</v>
      </c>
      <c r="C609">
        <v>3</v>
      </c>
      <c r="D609" s="21">
        <f>Table4[[#This Row],[Selling Price]]-Table_supermarket_sales___Sheet1[[#This Row],[Cost Price]]</f>
        <v>9.9579999999999984</v>
      </c>
    </row>
    <row r="610" spans="1:4" x14ac:dyDescent="0.35">
      <c r="A610" t="s">
        <v>5</v>
      </c>
      <c r="B610" s="20">
        <f>Table_supermarket_sales___Sheet1[[#This Row],[Cost Price]]+Table57[[#This Row],[Markup Cost]]</f>
        <v>32.140500000000003</v>
      </c>
      <c r="C610">
        <v>1</v>
      </c>
      <c r="D610" s="21">
        <f>Table4[[#This Row],[Selling Price]]-Table_supermarket_sales___Sheet1[[#This Row],[Cost Price]]</f>
        <v>1.5305000000000035</v>
      </c>
    </row>
    <row r="611" spans="1:4" x14ac:dyDescent="0.35">
      <c r="A611" t="s">
        <v>5</v>
      </c>
      <c r="B611" s="20">
        <f>Table_supermarket_sales___Sheet1[[#This Row],[Cost Price]]+Table57[[#This Row],[Markup Cost]]</f>
        <v>63.679000000000002</v>
      </c>
      <c r="C611">
        <v>3</v>
      </c>
      <c r="D611" s="21">
        <f>Table4[[#This Row],[Selling Price]]-Table_supermarket_sales___Sheet1[[#This Row],[Cost Price]]</f>
        <v>5.7890000000000015</v>
      </c>
    </row>
    <row r="612" spans="1:4" x14ac:dyDescent="0.35">
      <c r="A612" t="s">
        <v>2</v>
      </c>
      <c r="B612" s="20">
        <f>Table_supermarket_sales___Sheet1[[#This Row],[Cost Price]]+Table57[[#This Row],[Markup Cost]]</f>
        <v>30.408000000000001</v>
      </c>
      <c r="C612">
        <v>10</v>
      </c>
      <c r="D612" s="21">
        <f>Table4[[#This Row],[Selling Price]]-Table_supermarket_sales___Sheet1[[#This Row],[Cost Price]]</f>
        <v>1.4480000000000004</v>
      </c>
    </row>
    <row r="613" spans="1:4" x14ac:dyDescent="0.35">
      <c r="A613" t="s">
        <v>3</v>
      </c>
      <c r="B613" s="20">
        <f>Table_supermarket_sales___Sheet1[[#This Row],[Cost Price]]+Table57[[#This Row],[Markup Cost]]</f>
        <v>143.50649999999999</v>
      </c>
      <c r="C613">
        <v>3</v>
      </c>
      <c r="D613" s="21">
        <f>Table4[[#This Row],[Selling Price]]-Table_supermarket_sales___Sheet1[[#This Row],[Cost Price]]</f>
        <v>44.53649999999999</v>
      </c>
    </row>
    <row r="614" spans="1:4" x14ac:dyDescent="0.35">
      <c r="A614" t="s">
        <v>6</v>
      </c>
      <c r="B614" s="20">
        <f>Table_supermarket_sales___Sheet1[[#This Row],[Cost Price]]+Table57[[#This Row],[Markup Cost]]</f>
        <v>107.203</v>
      </c>
      <c r="C614">
        <v>7</v>
      </c>
      <c r="D614" s="21">
        <f>Table4[[#This Row],[Selling Price]]-Table_supermarket_sales___Sheet1[[#This Row],[Cost Price]]</f>
        <v>13.983000000000004</v>
      </c>
    </row>
    <row r="615" spans="1:4" x14ac:dyDescent="0.35">
      <c r="A615" t="s">
        <v>2</v>
      </c>
      <c r="B615" s="20">
        <f>Table_supermarket_sales___Sheet1[[#This Row],[Cost Price]]+Table57[[#This Row],[Markup Cost]]</f>
        <v>84.976500000000001</v>
      </c>
      <c r="C615">
        <v>5</v>
      </c>
      <c r="D615" s="21">
        <f>Table4[[#This Row],[Selling Price]]-Table_supermarket_sales___Sheet1[[#This Row],[Cost Price]]</f>
        <v>4.0464999999999947</v>
      </c>
    </row>
    <row r="616" spans="1:4" x14ac:dyDescent="0.35">
      <c r="A616" t="s">
        <v>5</v>
      </c>
      <c r="B616" s="20">
        <f>Table_supermarket_sales___Sheet1[[#This Row],[Cost Price]]+Table57[[#This Row],[Markup Cost]]</f>
        <v>101.17500000000001</v>
      </c>
      <c r="C616">
        <v>9</v>
      </c>
      <c r="D616" s="21">
        <f>Table4[[#This Row],[Selling Price]]-Table_supermarket_sales___Sheet1[[#This Row],[Cost Price]]</f>
        <v>33.725000000000009</v>
      </c>
    </row>
    <row r="617" spans="1:4" x14ac:dyDescent="0.35">
      <c r="A617" t="s">
        <v>4</v>
      </c>
      <c r="B617" s="20">
        <f>Table_supermarket_sales___Sheet1[[#This Row],[Cost Price]]+Table57[[#This Row],[Markup Cost]]</f>
        <v>56.143999999999998</v>
      </c>
      <c r="C617">
        <v>10</v>
      </c>
      <c r="D617" s="21">
        <f>Table4[[#This Row],[Selling Price]]-Table_supermarket_sales___Sheet1[[#This Row],[Cost Price]]</f>
        <v>17.423999999999999</v>
      </c>
    </row>
    <row r="618" spans="1:4" x14ac:dyDescent="0.35">
      <c r="A618" t="s">
        <v>4</v>
      </c>
      <c r="B618" s="20">
        <f>Table_supermarket_sales___Sheet1[[#This Row],[Cost Price]]+Table57[[#This Row],[Markup Cost]]</f>
        <v>94.38</v>
      </c>
      <c r="C618">
        <v>3</v>
      </c>
      <c r="D618" s="21">
        <f>Table4[[#This Row],[Selling Price]]-Table_supermarket_sales___Sheet1[[#This Row],[Cost Price]]</f>
        <v>21.78</v>
      </c>
    </row>
    <row r="619" spans="1:4" x14ac:dyDescent="0.35">
      <c r="A619" t="s">
        <v>1</v>
      </c>
      <c r="B619" s="20">
        <f>Table_supermarket_sales___Sheet1[[#This Row],[Cost Price]]+Table57[[#This Row],[Markup Cost]]</f>
        <v>109.88749999999999</v>
      </c>
      <c r="C619">
        <v>6</v>
      </c>
      <c r="D619" s="21">
        <f>Table4[[#This Row],[Selling Price]]-Table_supermarket_sales___Sheet1[[#This Row],[Cost Price]]</f>
        <v>21.977499999999992</v>
      </c>
    </row>
    <row r="620" spans="1:4" x14ac:dyDescent="0.35">
      <c r="A620" t="s">
        <v>2</v>
      </c>
      <c r="B620" s="20">
        <f>Table_supermarket_sales___Sheet1[[#This Row],[Cost Price]]+Table57[[#This Row],[Markup Cost]]</f>
        <v>128.089</v>
      </c>
      <c r="C620">
        <v>1</v>
      </c>
      <c r="D620" s="21">
        <f>Table4[[#This Row],[Selling Price]]-Table_supermarket_sales___Sheet1[[#This Row],[Cost Price]]</f>
        <v>29.558999999999997</v>
      </c>
    </row>
    <row r="621" spans="1:4" x14ac:dyDescent="0.35">
      <c r="A621" t="s">
        <v>5</v>
      </c>
      <c r="B621" s="20">
        <f>Table_supermarket_sales___Sheet1[[#This Row],[Cost Price]]+Table57[[#This Row],[Markup Cost]]</f>
        <v>56.498000000000005</v>
      </c>
      <c r="C621">
        <v>3</v>
      </c>
      <c r="D621" s="21">
        <f>Table4[[#This Row],[Selling Price]]-Table_supermarket_sales___Sheet1[[#This Row],[Cost Price]]</f>
        <v>13.038000000000004</v>
      </c>
    </row>
    <row r="622" spans="1:4" x14ac:dyDescent="0.35">
      <c r="A622" t="s">
        <v>5</v>
      </c>
      <c r="B622" s="20">
        <f>Table_supermarket_sales___Sheet1[[#This Row],[Cost Price]]+Table57[[#This Row],[Markup Cost]]</f>
        <v>82.432000000000002</v>
      </c>
      <c r="C622">
        <v>10</v>
      </c>
      <c r="D622" s="21">
        <f>Table4[[#This Row],[Selling Price]]-Table_supermarket_sales___Sheet1[[#This Row],[Cost Price]]</f>
        <v>10.751999999999995</v>
      </c>
    </row>
    <row r="623" spans="1:4" x14ac:dyDescent="0.35">
      <c r="A623" t="s">
        <v>2</v>
      </c>
      <c r="B623" s="20">
        <f>Table_supermarket_sales___Sheet1[[#This Row],[Cost Price]]+Table57[[#This Row],[Markup Cost]]</f>
        <v>96.1905</v>
      </c>
      <c r="C623">
        <v>5</v>
      </c>
      <c r="D623" s="21">
        <f>Table4[[#This Row],[Selling Price]]-Table_supermarket_sales___Sheet1[[#This Row],[Cost Price]]</f>
        <v>4.5805000000000007</v>
      </c>
    </row>
    <row r="624" spans="1:4" x14ac:dyDescent="0.35">
      <c r="A624" t="s">
        <v>2</v>
      </c>
      <c r="B624" s="20">
        <f>Table_supermarket_sales___Sheet1[[#This Row],[Cost Price]]+Table57[[#This Row],[Markup Cost]]</f>
        <v>127.6965</v>
      </c>
      <c r="C624">
        <v>2</v>
      </c>
      <c r="D624" s="21">
        <f>Table4[[#This Row],[Selling Price]]-Table_supermarket_sales___Sheet1[[#This Row],[Cost Price]]</f>
        <v>33.106499999999997</v>
      </c>
    </row>
    <row r="625" spans="1:4" x14ac:dyDescent="0.35">
      <c r="A625" t="s">
        <v>1</v>
      </c>
      <c r="B625" s="20">
        <f>Table_supermarket_sales___Sheet1[[#This Row],[Cost Price]]+Table57[[#This Row],[Markup Cost]]</f>
        <v>124.875</v>
      </c>
      <c r="C625">
        <v>9</v>
      </c>
      <c r="D625" s="21">
        <f>Table4[[#This Row],[Selling Price]]-Table_supermarket_sales___Sheet1[[#This Row],[Cost Price]]</f>
        <v>41.625</v>
      </c>
    </row>
    <row r="626" spans="1:4" x14ac:dyDescent="0.35">
      <c r="A626" t="s">
        <v>6</v>
      </c>
      <c r="B626" s="20">
        <f>Table_supermarket_sales___Sheet1[[#This Row],[Cost Price]]+Table57[[#This Row],[Markup Cost]]</f>
        <v>95.91749999999999</v>
      </c>
      <c r="C626">
        <v>1</v>
      </c>
      <c r="D626" s="21">
        <f>Table4[[#This Row],[Selling Price]]-Table_supermarket_sales___Sheet1[[#This Row],[Cost Price]]</f>
        <v>4.5674999999999955</v>
      </c>
    </row>
    <row r="627" spans="1:4" x14ac:dyDescent="0.35">
      <c r="A627" t="s">
        <v>1</v>
      </c>
      <c r="B627" s="20">
        <f>Table_supermarket_sales___Sheet1[[#This Row],[Cost Price]]+Table57[[#This Row],[Markup Cost]]</f>
        <v>86.768000000000001</v>
      </c>
      <c r="C627">
        <v>4</v>
      </c>
      <c r="D627" s="21">
        <f>Table4[[#This Row],[Selling Price]]-Table_supermarket_sales___Sheet1[[#This Row],[Cost Price]]</f>
        <v>7.8880000000000052</v>
      </c>
    </row>
    <row r="628" spans="1:4" x14ac:dyDescent="0.35">
      <c r="A628" t="s">
        <v>2</v>
      </c>
      <c r="B628" s="20">
        <f>Table_supermarket_sales___Sheet1[[#This Row],[Cost Price]]+Table57[[#This Row],[Markup Cost]]</f>
        <v>66.956999999999994</v>
      </c>
      <c r="C628">
        <v>8</v>
      </c>
      <c r="D628" s="21">
        <f>Table4[[#This Row],[Selling Price]]-Table_supermarket_sales___Sheet1[[#This Row],[Cost Price]]</f>
        <v>6.0869999999999962</v>
      </c>
    </row>
    <row r="629" spans="1:4" x14ac:dyDescent="0.35">
      <c r="A629" t="s">
        <v>2</v>
      </c>
      <c r="B629" s="20">
        <f>Table_supermarket_sales___Sheet1[[#This Row],[Cost Price]]+Table57[[#This Row],[Markup Cost]]</f>
        <v>123.87</v>
      </c>
      <c r="C629">
        <v>7</v>
      </c>
      <c r="D629" s="21">
        <f>Table4[[#This Row],[Selling Price]]-Table_supermarket_sales___Sheet1[[#This Row],[Cost Price]]</f>
        <v>41.290000000000006</v>
      </c>
    </row>
    <row r="630" spans="1:4" x14ac:dyDescent="0.35">
      <c r="A630" t="s">
        <v>5</v>
      </c>
      <c r="B630" s="20">
        <f>Table_supermarket_sales___Sheet1[[#This Row],[Cost Price]]+Table57[[#This Row],[Markup Cost]]</f>
        <v>61.294999999999995</v>
      </c>
      <c r="C630">
        <v>1</v>
      </c>
      <c r="D630" s="21">
        <f>Table4[[#This Row],[Selling Price]]-Table_supermarket_sales___Sheet1[[#This Row],[Cost Price]]</f>
        <v>7.9949999999999974</v>
      </c>
    </row>
    <row r="631" spans="1:4" x14ac:dyDescent="0.35">
      <c r="A631" t="s">
        <v>4</v>
      </c>
      <c r="B631" s="20">
        <f>Table_supermarket_sales___Sheet1[[#This Row],[Cost Price]]+Table57[[#This Row],[Markup Cost]]</f>
        <v>12.6945</v>
      </c>
      <c r="C631">
        <v>6</v>
      </c>
      <c r="D631" s="21">
        <f>Table4[[#This Row],[Selling Price]]-Table_supermarket_sales___Sheet1[[#This Row],[Cost Price]]</f>
        <v>0.60449999999999982</v>
      </c>
    </row>
    <row r="632" spans="1:4" x14ac:dyDescent="0.35">
      <c r="A632" t="s">
        <v>2</v>
      </c>
      <c r="B632" s="20">
        <f>Table_supermarket_sales___Sheet1[[#This Row],[Cost Price]]+Table57[[#This Row],[Markup Cost]]</f>
        <v>96.284999999999997</v>
      </c>
      <c r="C632">
        <v>6</v>
      </c>
      <c r="D632" s="21">
        <f>Table4[[#This Row],[Selling Price]]-Table_supermarket_sales___Sheet1[[#This Row],[Cost Price]]</f>
        <v>32.094999999999999</v>
      </c>
    </row>
    <row r="633" spans="1:4" x14ac:dyDescent="0.35">
      <c r="A633" t="s">
        <v>4</v>
      </c>
      <c r="B633" s="20">
        <f>Table_supermarket_sales___Sheet1[[#This Row],[Cost Price]]+Table57[[#This Row],[Markup Cost]]</f>
        <v>90.0565</v>
      </c>
      <c r="C633">
        <v>2</v>
      </c>
      <c r="D633" s="21">
        <f>Table4[[#This Row],[Selling Price]]-Table_supermarket_sales___Sheet1[[#This Row],[Cost Price]]</f>
        <v>11.746499999999997</v>
      </c>
    </row>
    <row r="634" spans="1:4" x14ac:dyDescent="0.35">
      <c r="A634" t="s">
        <v>5</v>
      </c>
      <c r="B634" s="20">
        <f>Table_supermarket_sales___Sheet1[[#This Row],[Cost Price]]+Table57[[#This Row],[Markup Cost]]</f>
        <v>92.146999999999991</v>
      </c>
      <c r="C634">
        <v>9</v>
      </c>
      <c r="D634" s="21">
        <f>Table4[[#This Row],[Selling Price]]-Table_supermarket_sales___Sheet1[[#This Row],[Cost Price]]</f>
        <v>8.3769999999999953</v>
      </c>
    </row>
    <row r="635" spans="1:4" x14ac:dyDescent="0.35">
      <c r="A635" t="s">
        <v>5</v>
      </c>
      <c r="B635" s="20">
        <f>Table_supermarket_sales___Sheet1[[#This Row],[Cost Price]]+Table57[[#This Row],[Markup Cost]]</f>
        <v>114.655</v>
      </c>
      <c r="C635">
        <v>1</v>
      </c>
      <c r="D635" s="21">
        <f>Table4[[#This Row],[Selling Price]]-Table_supermarket_sales___Sheet1[[#This Row],[Cost Price]]</f>
        <v>14.954999999999998</v>
      </c>
    </row>
    <row r="636" spans="1:4" x14ac:dyDescent="0.35">
      <c r="A636" t="s">
        <v>3</v>
      </c>
      <c r="B636" s="20">
        <f>Table_supermarket_sales___Sheet1[[#This Row],[Cost Price]]+Table57[[#This Row],[Markup Cost]]</f>
        <v>91.896500000000003</v>
      </c>
      <c r="C636">
        <v>9</v>
      </c>
      <c r="D636" s="21">
        <f>Table4[[#This Row],[Selling Price]]-Table_supermarket_sales___Sheet1[[#This Row],[Cost Price]]</f>
        <v>11.986500000000007</v>
      </c>
    </row>
    <row r="637" spans="1:4" x14ac:dyDescent="0.35">
      <c r="A637" t="s">
        <v>2</v>
      </c>
      <c r="B637" s="20">
        <f>Table_supermarket_sales___Sheet1[[#This Row],[Cost Price]]+Table57[[#This Row],[Markup Cost]]</f>
        <v>99.704999999999998</v>
      </c>
      <c r="C637">
        <v>6</v>
      </c>
      <c r="D637" s="21">
        <f>Table4[[#This Row],[Selling Price]]-Table_supermarket_sales___Sheet1[[#This Row],[Cost Price]]</f>
        <v>33.234999999999999</v>
      </c>
    </row>
    <row r="638" spans="1:4" x14ac:dyDescent="0.35">
      <c r="A638" t="s">
        <v>1</v>
      </c>
      <c r="B638" s="20">
        <f>Table_supermarket_sales___Sheet1[[#This Row],[Cost Price]]+Table57[[#This Row],[Markup Cost]]</f>
        <v>39.082499999999996</v>
      </c>
      <c r="C638">
        <v>4</v>
      </c>
      <c r="D638" s="21">
        <f>Table4[[#This Row],[Selling Price]]-Table_supermarket_sales___Sheet1[[#This Row],[Cost Price]]</f>
        <v>10.132499999999997</v>
      </c>
    </row>
    <row r="639" spans="1:4" x14ac:dyDescent="0.35">
      <c r="A639" t="s">
        <v>2</v>
      </c>
      <c r="B639" s="20">
        <f>Table_supermarket_sales___Sheet1[[#This Row],[Cost Price]]+Table57[[#This Row],[Markup Cost]]</f>
        <v>48.510000000000005</v>
      </c>
      <c r="C639">
        <v>6</v>
      </c>
      <c r="D639" s="21">
        <f>Table4[[#This Row],[Selling Price]]-Table_supermarket_sales___Sheet1[[#This Row],[Cost Price]]</f>
        <v>2.3100000000000023</v>
      </c>
    </row>
    <row r="640" spans="1:4" x14ac:dyDescent="0.35">
      <c r="A640" t="s">
        <v>6</v>
      </c>
      <c r="B640" s="20">
        <f>Table_supermarket_sales___Sheet1[[#This Row],[Cost Price]]+Table57[[#This Row],[Markup Cost]]</f>
        <v>22.037499999999998</v>
      </c>
      <c r="C640">
        <v>2</v>
      </c>
      <c r="D640" s="21">
        <f>Table4[[#This Row],[Selling Price]]-Table_supermarket_sales___Sheet1[[#This Row],[Cost Price]]</f>
        <v>4.4074999999999989</v>
      </c>
    </row>
    <row r="641" spans="1:4" x14ac:dyDescent="0.35">
      <c r="A641" t="s">
        <v>1</v>
      </c>
      <c r="B641" s="20">
        <f>Table_supermarket_sales___Sheet1[[#This Row],[Cost Price]]+Table57[[#This Row],[Markup Cost]]</f>
        <v>60.283000000000001</v>
      </c>
      <c r="C641">
        <v>8</v>
      </c>
      <c r="D641" s="21">
        <f>Table4[[#This Row],[Selling Price]]-Table_supermarket_sales___Sheet1[[#This Row],[Cost Price]]</f>
        <v>7.8629999999999995</v>
      </c>
    </row>
    <row r="642" spans="1:4" x14ac:dyDescent="0.35">
      <c r="A642" t="s">
        <v>6</v>
      </c>
      <c r="B642" s="20">
        <f>Table_supermarket_sales___Sheet1[[#This Row],[Cost Price]]+Table57[[#This Row],[Markup Cost]]</f>
        <v>113.60850000000001</v>
      </c>
      <c r="C642">
        <v>10</v>
      </c>
      <c r="D642" s="21">
        <f>Table4[[#This Row],[Selling Price]]-Table_supermarket_sales___Sheet1[[#This Row],[Cost Price]]</f>
        <v>14.8185</v>
      </c>
    </row>
    <row r="643" spans="1:4" x14ac:dyDescent="0.35">
      <c r="A643" t="s">
        <v>3</v>
      </c>
      <c r="B643" s="20">
        <f>Table_supermarket_sales___Sheet1[[#This Row],[Cost Price]]+Table57[[#This Row],[Markup Cost]]</f>
        <v>123.97</v>
      </c>
      <c r="C643">
        <v>6</v>
      </c>
      <c r="D643" s="21">
        <f>Table4[[#This Row],[Selling Price]]-Table_supermarket_sales___Sheet1[[#This Row],[Cost Price]]</f>
        <v>35.42</v>
      </c>
    </row>
    <row r="644" spans="1:4" x14ac:dyDescent="0.35">
      <c r="A644" t="s">
        <v>2</v>
      </c>
      <c r="B644" s="20">
        <f>Table_supermarket_sales___Sheet1[[#This Row],[Cost Price]]+Table57[[#This Row],[Markup Cost]]</f>
        <v>61.237000000000002</v>
      </c>
      <c r="C644">
        <v>3</v>
      </c>
      <c r="D644" s="21">
        <f>Table4[[#This Row],[Selling Price]]-Table_supermarket_sales___Sheet1[[#This Row],[Cost Price]]</f>
        <v>5.5670000000000002</v>
      </c>
    </row>
    <row r="645" spans="1:4" x14ac:dyDescent="0.35">
      <c r="A645" t="s">
        <v>5</v>
      </c>
      <c r="B645" s="20">
        <f>Table_supermarket_sales___Sheet1[[#This Row],[Cost Price]]+Table57[[#This Row],[Markup Cost]]</f>
        <v>101.52799999999999</v>
      </c>
      <c r="C645">
        <v>6</v>
      </c>
      <c r="D645" s="21">
        <f>Table4[[#This Row],[Selling Price]]-Table_supermarket_sales___Sheet1[[#This Row],[Cost Price]]</f>
        <v>29.007999999999996</v>
      </c>
    </row>
    <row r="646" spans="1:4" x14ac:dyDescent="0.35">
      <c r="A646" t="s">
        <v>1</v>
      </c>
      <c r="B646" s="20">
        <f>Table_supermarket_sales___Sheet1[[#This Row],[Cost Price]]+Table57[[#This Row],[Markup Cost]]</f>
        <v>15.0625</v>
      </c>
      <c r="C646">
        <v>9</v>
      </c>
      <c r="D646" s="21">
        <f>Table4[[#This Row],[Selling Price]]-Table_supermarket_sales___Sheet1[[#This Row],[Cost Price]]</f>
        <v>3.0124999999999993</v>
      </c>
    </row>
    <row r="647" spans="1:4" x14ac:dyDescent="0.35">
      <c r="A647" t="s">
        <v>5</v>
      </c>
      <c r="B647" s="20">
        <f>Table_supermarket_sales___Sheet1[[#This Row],[Cost Price]]+Table57[[#This Row],[Markup Cost]]</f>
        <v>28.071999999999999</v>
      </c>
      <c r="C647">
        <v>9</v>
      </c>
      <c r="D647" s="21">
        <f>Table4[[#This Row],[Selling Price]]-Table_supermarket_sales___Sheet1[[#This Row],[Cost Price]]</f>
        <v>8.7119999999999997</v>
      </c>
    </row>
    <row r="648" spans="1:4" x14ac:dyDescent="0.35">
      <c r="A648" t="s">
        <v>6</v>
      </c>
      <c r="B648" s="20">
        <f>Table_supermarket_sales___Sheet1[[#This Row],[Cost Price]]+Table57[[#This Row],[Markup Cost]]</f>
        <v>91.272999999999996</v>
      </c>
      <c r="C648">
        <v>10</v>
      </c>
      <c r="D648" s="21">
        <f>Table4[[#This Row],[Selling Price]]-Table_supermarket_sales___Sheet1[[#This Row],[Cost Price]]</f>
        <v>21.063000000000002</v>
      </c>
    </row>
    <row r="649" spans="1:4" x14ac:dyDescent="0.35">
      <c r="A649" t="s">
        <v>1</v>
      </c>
      <c r="B649" s="20">
        <f>Table_supermarket_sales___Sheet1[[#This Row],[Cost Price]]+Table57[[#This Row],[Markup Cost]]</f>
        <v>35.311500000000002</v>
      </c>
      <c r="C649">
        <v>6</v>
      </c>
      <c r="D649" s="21">
        <f>Table4[[#This Row],[Selling Price]]-Table_supermarket_sales___Sheet1[[#This Row],[Cost Price]]</f>
        <v>1.6814999999999998</v>
      </c>
    </row>
    <row r="650" spans="1:4" x14ac:dyDescent="0.35">
      <c r="A650" t="s">
        <v>1</v>
      </c>
      <c r="B650" s="20">
        <f>Table_supermarket_sales___Sheet1[[#This Row],[Cost Price]]+Table57[[#This Row],[Markup Cost]]</f>
        <v>17.039000000000001</v>
      </c>
      <c r="C650">
        <v>10</v>
      </c>
      <c r="D650" s="21">
        <f>Table4[[#This Row],[Selling Price]]-Table_supermarket_sales___Sheet1[[#This Row],[Cost Price]]</f>
        <v>1.5490000000000013</v>
      </c>
    </row>
    <row r="651" spans="1:4" x14ac:dyDescent="0.35">
      <c r="A651" t="s">
        <v>6</v>
      </c>
      <c r="B651" s="20">
        <f>Table_supermarket_sales___Sheet1[[#This Row],[Cost Price]]+Table57[[#This Row],[Markup Cost]]</f>
        <v>37.11</v>
      </c>
      <c r="C651">
        <v>9</v>
      </c>
      <c r="D651" s="21">
        <f>Table4[[#This Row],[Selling Price]]-Table_supermarket_sales___Sheet1[[#This Row],[Cost Price]]</f>
        <v>12.370000000000001</v>
      </c>
    </row>
    <row r="652" spans="1:4" x14ac:dyDescent="0.35">
      <c r="A652" t="s">
        <v>4</v>
      </c>
      <c r="B652" s="20">
        <f>Table_supermarket_sales___Sheet1[[#This Row],[Cost Price]]+Table57[[#This Row],[Markup Cost]]</f>
        <v>94.574999999999989</v>
      </c>
      <c r="C652">
        <v>6</v>
      </c>
      <c r="D652" s="21">
        <f>Table4[[#This Row],[Selling Price]]-Table_supermarket_sales___Sheet1[[#This Row],[Cost Price]]</f>
        <v>18.914999999999992</v>
      </c>
    </row>
    <row r="653" spans="1:4" x14ac:dyDescent="0.35">
      <c r="A653" t="s">
        <v>2</v>
      </c>
      <c r="B653" s="20">
        <f>Table_supermarket_sales___Sheet1[[#This Row],[Cost Price]]+Table57[[#This Row],[Markup Cost]]</f>
        <v>72.552999999999997</v>
      </c>
      <c r="C653">
        <v>3</v>
      </c>
      <c r="D653" s="21">
        <f>Table4[[#This Row],[Selling Price]]-Table_supermarket_sales___Sheet1[[#This Row],[Cost Price]]</f>
        <v>16.742999999999995</v>
      </c>
    </row>
    <row r="654" spans="1:4" x14ac:dyDescent="0.35">
      <c r="A654" t="s">
        <v>4</v>
      </c>
      <c r="B654" s="20">
        <f>Table_supermarket_sales___Sheet1[[#This Row],[Cost Price]]+Table57[[#This Row],[Markup Cost]]</f>
        <v>109.17</v>
      </c>
      <c r="C654">
        <v>5</v>
      </c>
      <c r="D654" s="21">
        <f>Table4[[#This Row],[Selling Price]]-Table_supermarket_sales___Sheet1[[#This Row],[Cost Price]]</f>
        <v>36.39</v>
      </c>
    </row>
    <row r="655" spans="1:4" x14ac:dyDescent="0.35">
      <c r="A655" t="s">
        <v>2</v>
      </c>
      <c r="B655" s="20">
        <f>Table_supermarket_sales___Sheet1[[#This Row],[Cost Price]]+Table57[[#This Row],[Markup Cost]]</f>
        <v>54.114000000000004</v>
      </c>
      <c r="C655">
        <v>6</v>
      </c>
      <c r="D655" s="21">
        <f>Table4[[#This Row],[Selling Price]]-Table_supermarket_sales___Sheet1[[#This Row],[Cost Price]]</f>
        <v>16.794000000000004</v>
      </c>
    </row>
    <row r="656" spans="1:4" x14ac:dyDescent="0.35">
      <c r="A656" t="s">
        <v>2</v>
      </c>
      <c r="B656" s="20">
        <f>Table_supermarket_sales___Sheet1[[#This Row],[Cost Price]]+Table57[[#This Row],[Markup Cost]]</f>
        <v>72.215999999999994</v>
      </c>
      <c r="C656">
        <v>10</v>
      </c>
      <c r="D656" s="21">
        <f>Table4[[#This Row],[Selling Price]]-Table_supermarket_sales___Sheet1[[#This Row],[Cost Price]]</f>
        <v>12.035999999999994</v>
      </c>
    </row>
    <row r="657" spans="1:4" x14ac:dyDescent="0.35">
      <c r="A657" t="s">
        <v>4</v>
      </c>
      <c r="B657" s="20">
        <f>Table_supermarket_sales___Sheet1[[#This Row],[Cost Price]]+Table57[[#This Row],[Markup Cost]]</f>
        <v>18.043499999999998</v>
      </c>
      <c r="C657">
        <v>9</v>
      </c>
      <c r="D657" s="21">
        <f>Table4[[#This Row],[Selling Price]]-Table_supermarket_sales___Sheet1[[#This Row],[Cost Price]]</f>
        <v>2.3534999999999986</v>
      </c>
    </row>
    <row r="658" spans="1:4" x14ac:dyDescent="0.35">
      <c r="A658" t="s">
        <v>3</v>
      </c>
      <c r="B658" s="20">
        <f>Table_supermarket_sales___Sheet1[[#This Row],[Cost Price]]+Table57[[#This Row],[Markup Cost]]</f>
        <v>104.67449999999999</v>
      </c>
      <c r="C658">
        <v>1</v>
      </c>
      <c r="D658" s="21">
        <f>Table4[[#This Row],[Selling Price]]-Table_supermarket_sales___Sheet1[[#This Row],[Cost Price]]</f>
        <v>4.984499999999997</v>
      </c>
    </row>
    <row r="659" spans="1:4" x14ac:dyDescent="0.35">
      <c r="A659" t="s">
        <v>6</v>
      </c>
      <c r="B659" s="20">
        <f>Table_supermarket_sales___Sheet1[[#This Row],[Cost Price]]+Table57[[#This Row],[Markup Cost]]</f>
        <v>101.3725</v>
      </c>
      <c r="C659">
        <v>5</v>
      </c>
      <c r="D659" s="21">
        <f>Table4[[#This Row],[Selling Price]]-Table_supermarket_sales___Sheet1[[#This Row],[Cost Price]]</f>
        <v>13.222499999999997</v>
      </c>
    </row>
    <row r="660" spans="1:4" x14ac:dyDescent="0.35">
      <c r="A660" t="s">
        <v>2</v>
      </c>
      <c r="B660" s="20">
        <f>Table_supermarket_sales___Sheet1[[#This Row],[Cost Price]]+Table57[[#This Row],[Markup Cost]]</f>
        <v>34.912500000000001</v>
      </c>
      <c r="C660">
        <v>4</v>
      </c>
      <c r="D660" s="21">
        <f>Table4[[#This Row],[Selling Price]]-Table_supermarket_sales___Sheet1[[#This Row],[Cost Price]]</f>
        <v>6.9825000000000017</v>
      </c>
    </row>
    <row r="661" spans="1:4" x14ac:dyDescent="0.35">
      <c r="A661" t="s">
        <v>1</v>
      </c>
      <c r="B661" s="20">
        <f>Table_supermarket_sales___Sheet1[[#This Row],[Cost Price]]+Table57[[#This Row],[Markup Cost]]</f>
        <v>58.222500000000004</v>
      </c>
      <c r="C661">
        <v>3</v>
      </c>
      <c r="D661" s="21">
        <f>Table4[[#This Row],[Selling Price]]-Table_supermarket_sales___Sheet1[[#This Row],[Cost Price]]</f>
        <v>2.7725000000000009</v>
      </c>
    </row>
    <row r="662" spans="1:4" x14ac:dyDescent="0.35">
      <c r="A662" t="s">
        <v>3</v>
      </c>
      <c r="B662" s="20">
        <f>Table_supermarket_sales___Sheet1[[#This Row],[Cost Price]]+Table57[[#This Row],[Markup Cost]]</f>
        <v>49.415500000000002</v>
      </c>
      <c r="C662">
        <v>5</v>
      </c>
      <c r="D662" s="21">
        <f>Table4[[#This Row],[Selling Price]]-Table_supermarket_sales___Sheet1[[#This Row],[Cost Price]]</f>
        <v>6.4455000000000027</v>
      </c>
    </row>
    <row r="663" spans="1:4" x14ac:dyDescent="0.35">
      <c r="A663" t="s">
        <v>4</v>
      </c>
      <c r="B663" s="20">
        <f>Table_supermarket_sales___Sheet1[[#This Row],[Cost Price]]+Table57[[#This Row],[Markup Cost]]</f>
        <v>23.138999999999999</v>
      </c>
      <c r="C663">
        <v>7</v>
      </c>
      <c r="D663" s="21">
        <f>Table4[[#This Row],[Selling Price]]-Table_supermarket_sales___Sheet1[[#This Row],[Cost Price]]</f>
        <v>5.9989999999999988</v>
      </c>
    </row>
    <row r="664" spans="1:4" x14ac:dyDescent="0.35">
      <c r="A664" t="s">
        <v>5</v>
      </c>
      <c r="B664" s="20">
        <f>Table_supermarket_sales___Sheet1[[#This Row],[Cost Price]]+Table57[[#This Row],[Markup Cost]]</f>
        <v>76.375</v>
      </c>
      <c r="C664">
        <v>10</v>
      </c>
      <c r="D664" s="21">
        <f>Table4[[#This Row],[Selling Price]]-Table_supermarket_sales___Sheet1[[#This Row],[Cost Price]]</f>
        <v>17.625</v>
      </c>
    </row>
    <row r="665" spans="1:4" x14ac:dyDescent="0.35">
      <c r="A665" t="s">
        <v>1</v>
      </c>
      <c r="B665" s="20">
        <f>Table_supermarket_sales___Sheet1[[#This Row],[Cost Price]]+Table57[[#This Row],[Markup Cost]]</f>
        <v>130.64999999999998</v>
      </c>
      <c r="C665">
        <v>5</v>
      </c>
      <c r="D665" s="21">
        <f>Table4[[#This Row],[Selling Price]]-Table_supermarket_sales___Sheet1[[#This Row],[Cost Price]]</f>
        <v>43.549999999999983</v>
      </c>
    </row>
    <row r="666" spans="1:4" x14ac:dyDescent="0.35">
      <c r="A666" t="s">
        <v>3</v>
      </c>
      <c r="B666" s="20">
        <f>Table_supermarket_sales___Sheet1[[#This Row],[Cost Price]]+Table57[[#This Row],[Markup Cost]]</f>
        <v>108.67999999999999</v>
      </c>
      <c r="C666">
        <v>3</v>
      </c>
      <c r="D666" s="21">
        <f>Table4[[#This Row],[Selling Price]]-Table_supermarket_sales___Sheet1[[#This Row],[Cost Price]]</f>
        <v>9.8799999999999955</v>
      </c>
    </row>
    <row r="667" spans="1:4" x14ac:dyDescent="0.35">
      <c r="A667" t="s">
        <v>6</v>
      </c>
      <c r="B667" s="20">
        <f>Table_supermarket_sales___Sheet1[[#This Row],[Cost Price]]+Table57[[#This Row],[Markup Cost]]</f>
        <v>58.356000000000002</v>
      </c>
      <c r="C667">
        <v>4</v>
      </c>
      <c r="D667" s="21">
        <f>Table4[[#This Row],[Selling Price]]-Table_supermarket_sales___Sheet1[[#This Row],[Cost Price]]</f>
        <v>9.7259999999999991</v>
      </c>
    </row>
    <row r="668" spans="1:4" x14ac:dyDescent="0.35">
      <c r="A668" t="s">
        <v>3</v>
      </c>
      <c r="B668" s="20">
        <f>Table_supermarket_sales___Sheet1[[#This Row],[Cost Price]]+Table57[[#This Row],[Markup Cost]]</f>
        <v>66.400999999999996</v>
      </c>
      <c r="C668">
        <v>3</v>
      </c>
      <c r="D668" s="21">
        <f>Table4[[#This Row],[Selling Price]]-Table_supermarket_sales___Sheet1[[#This Row],[Cost Price]]</f>
        <v>8.6609999999999943</v>
      </c>
    </row>
    <row r="669" spans="1:4" x14ac:dyDescent="0.35">
      <c r="A669" t="s">
        <v>5</v>
      </c>
      <c r="B669" s="20">
        <f>Table_supermarket_sales___Sheet1[[#This Row],[Cost Price]]+Table57[[#This Row],[Markup Cost]]</f>
        <v>21.564</v>
      </c>
      <c r="C669">
        <v>9</v>
      </c>
      <c r="D669" s="21">
        <f>Table4[[#This Row],[Selling Price]]-Table_supermarket_sales___Sheet1[[#This Row],[Cost Price]]</f>
        <v>3.5940000000000012</v>
      </c>
    </row>
    <row r="670" spans="1:4" x14ac:dyDescent="0.35">
      <c r="A670" t="s">
        <v>1</v>
      </c>
      <c r="B670" s="20">
        <f>Table_supermarket_sales___Sheet1[[#This Row],[Cost Price]]+Table57[[#This Row],[Markup Cost]]</f>
        <v>62.023000000000003</v>
      </c>
      <c r="C670">
        <v>1</v>
      </c>
      <c r="D670" s="21">
        <f>Table4[[#This Row],[Selling Price]]-Table_supermarket_sales___Sheet1[[#This Row],[Cost Price]]</f>
        <v>14.313000000000002</v>
      </c>
    </row>
    <row r="671" spans="1:4" x14ac:dyDescent="0.35">
      <c r="A671" t="s">
        <v>5</v>
      </c>
      <c r="B671" s="20">
        <f>Table_supermarket_sales___Sheet1[[#This Row],[Cost Price]]+Table57[[#This Row],[Markup Cost]]</f>
        <v>44.681999999999995</v>
      </c>
      <c r="C671">
        <v>7</v>
      </c>
      <c r="D671" s="21">
        <f>Table4[[#This Row],[Selling Price]]-Table_supermarket_sales___Sheet1[[#This Row],[Cost Price]]</f>
        <v>4.0619999999999976</v>
      </c>
    </row>
    <row r="672" spans="1:4" x14ac:dyDescent="0.35">
      <c r="A672" t="s">
        <v>3</v>
      </c>
      <c r="B672" s="20">
        <f>Table_supermarket_sales___Sheet1[[#This Row],[Cost Price]]+Table57[[#This Row],[Markup Cost]]</f>
        <v>84.06</v>
      </c>
      <c r="C672">
        <v>9</v>
      </c>
      <c r="D672" s="21">
        <f>Table4[[#This Row],[Selling Price]]-Table_supermarket_sales___Sheet1[[#This Row],[Cost Price]]</f>
        <v>28.020000000000003</v>
      </c>
    </row>
    <row r="673" spans="1:4" x14ac:dyDescent="0.35">
      <c r="A673" t="s">
        <v>6</v>
      </c>
      <c r="B673" s="20">
        <f>Table_supermarket_sales___Sheet1[[#This Row],[Cost Price]]+Table57[[#This Row],[Markup Cost]]</f>
        <v>102.74000000000001</v>
      </c>
      <c r="C673">
        <v>1</v>
      </c>
      <c r="D673" s="21">
        <f>Table4[[#This Row],[Selling Price]]-Table_supermarket_sales___Sheet1[[#This Row],[Cost Price]]</f>
        <v>9.3400000000000034</v>
      </c>
    </row>
    <row r="674" spans="1:4" x14ac:dyDescent="0.35">
      <c r="A674" t="s">
        <v>5</v>
      </c>
      <c r="B674" s="20">
        <f>Table_supermarket_sales___Sheet1[[#This Row],[Cost Price]]+Table57[[#This Row],[Markup Cost]]</f>
        <v>84.421499999999995</v>
      </c>
      <c r="C674">
        <v>5</v>
      </c>
      <c r="D674" s="21">
        <f>Table4[[#This Row],[Selling Price]]-Table_supermarket_sales___Sheet1[[#This Row],[Cost Price]]</f>
        <v>11.011499999999998</v>
      </c>
    </row>
    <row r="675" spans="1:4" x14ac:dyDescent="0.35">
      <c r="A675" t="s">
        <v>6</v>
      </c>
      <c r="B675" s="20">
        <f>Table_supermarket_sales___Sheet1[[#This Row],[Cost Price]]+Table57[[#This Row],[Markup Cost]]</f>
        <v>47.096000000000004</v>
      </c>
      <c r="C675">
        <v>4</v>
      </c>
      <c r="D675" s="21">
        <f>Table4[[#This Row],[Selling Price]]-Table_supermarket_sales___Sheet1[[#This Row],[Cost Price]]</f>
        <v>13.456000000000003</v>
      </c>
    </row>
    <row r="676" spans="1:4" x14ac:dyDescent="0.35">
      <c r="A676" t="s">
        <v>2</v>
      </c>
      <c r="B676" s="20">
        <f>Table_supermarket_sales___Sheet1[[#This Row],[Cost Price]]+Table57[[#This Row],[Markup Cost]]</f>
        <v>68.22</v>
      </c>
      <c r="C676">
        <v>4</v>
      </c>
      <c r="D676" s="21">
        <f>Table4[[#This Row],[Selling Price]]-Table_supermarket_sales___Sheet1[[#This Row],[Cost Price]]</f>
        <v>22.740000000000002</v>
      </c>
    </row>
    <row r="677" spans="1:4" x14ac:dyDescent="0.35">
      <c r="A677" t="s">
        <v>5</v>
      </c>
      <c r="B677" s="20">
        <f>Table_supermarket_sales___Sheet1[[#This Row],[Cost Price]]+Table57[[#This Row],[Markup Cost]]</f>
        <v>92.146999999999991</v>
      </c>
      <c r="C677">
        <v>10</v>
      </c>
      <c r="D677" s="21">
        <f>Table4[[#This Row],[Selling Price]]-Table_supermarket_sales___Sheet1[[#This Row],[Cost Price]]</f>
        <v>8.3769999999999953</v>
      </c>
    </row>
    <row r="678" spans="1:4" x14ac:dyDescent="0.35">
      <c r="A678" t="s">
        <v>5</v>
      </c>
      <c r="B678" s="20">
        <f>Table_supermarket_sales___Sheet1[[#This Row],[Cost Price]]+Table57[[#This Row],[Markup Cost]]</f>
        <v>86.507999999999996</v>
      </c>
      <c r="C678">
        <v>10</v>
      </c>
      <c r="D678" s="21">
        <f>Table4[[#This Row],[Selling Price]]-Table_supermarket_sales___Sheet1[[#This Row],[Cost Price]]</f>
        <v>22.427999999999997</v>
      </c>
    </row>
    <row r="679" spans="1:4" x14ac:dyDescent="0.35">
      <c r="A679" t="s">
        <v>3</v>
      </c>
      <c r="B679" s="20">
        <f>Table_supermarket_sales___Sheet1[[#This Row],[Cost Price]]+Table57[[#This Row],[Markup Cost]]</f>
        <v>88.164000000000001</v>
      </c>
      <c r="C679">
        <v>9</v>
      </c>
      <c r="D679" s="21">
        <f>Table4[[#This Row],[Selling Price]]-Table_supermarket_sales___Sheet1[[#This Row],[Cost Price]]</f>
        <v>14.694000000000003</v>
      </c>
    </row>
    <row r="680" spans="1:4" x14ac:dyDescent="0.35">
      <c r="A680" t="s">
        <v>5</v>
      </c>
      <c r="B680" s="20">
        <f>Table_supermarket_sales___Sheet1[[#This Row],[Cost Price]]+Table57[[#This Row],[Markup Cost]]</f>
        <v>88.425000000000011</v>
      </c>
      <c r="C680">
        <v>1</v>
      </c>
      <c r="D680" s="21">
        <f>Table4[[#This Row],[Selling Price]]-Table_supermarket_sales___Sheet1[[#This Row],[Cost Price]]</f>
        <v>29.475000000000009</v>
      </c>
    </row>
    <row r="681" spans="1:4" x14ac:dyDescent="0.35">
      <c r="A681" t="s">
        <v>2</v>
      </c>
      <c r="B681" s="20">
        <f>Table_supermarket_sales___Sheet1[[#This Row],[Cost Price]]+Table57[[#This Row],[Markup Cost]]</f>
        <v>63.05</v>
      </c>
      <c r="C681">
        <v>4</v>
      </c>
      <c r="D681" s="21">
        <f>Table4[[#This Row],[Selling Price]]-Table_supermarket_sales___Sheet1[[#This Row],[Cost Price]]</f>
        <v>14.549999999999997</v>
      </c>
    </row>
    <row r="682" spans="1:4" x14ac:dyDescent="0.35">
      <c r="A682" t="s">
        <v>4</v>
      </c>
      <c r="B682" s="20">
        <f>Table_supermarket_sales___Sheet1[[#This Row],[Cost Price]]+Table57[[#This Row],[Markup Cost]]</f>
        <v>41.453999999999994</v>
      </c>
      <c r="C682">
        <v>1</v>
      </c>
      <c r="D682" s="21">
        <f>Table4[[#This Row],[Selling Price]]-Table_supermarket_sales___Sheet1[[#This Row],[Cost Price]]</f>
        <v>1.9739999999999966</v>
      </c>
    </row>
    <row r="683" spans="1:4" x14ac:dyDescent="0.35">
      <c r="A683" t="s">
        <v>1</v>
      </c>
      <c r="B683" s="20">
        <f>Table_supermarket_sales___Sheet1[[#This Row],[Cost Price]]+Table57[[#This Row],[Markup Cost]]</f>
        <v>36.5505</v>
      </c>
      <c r="C683">
        <v>8</v>
      </c>
      <c r="D683" s="21">
        <f>Table4[[#This Row],[Selling Price]]-Table_supermarket_sales___Sheet1[[#This Row],[Cost Price]]</f>
        <v>1.7404999999999973</v>
      </c>
    </row>
    <row r="684" spans="1:4" x14ac:dyDescent="0.35">
      <c r="A684" t="s">
        <v>4</v>
      </c>
      <c r="B684" s="20">
        <f>Table_supermarket_sales___Sheet1[[#This Row],[Cost Price]]+Table57[[#This Row],[Markup Cost]]</f>
        <v>64.116</v>
      </c>
      <c r="C684">
        <v>10</v>
      </c>
      <c r="D684" s="21">
        <f>Table4[[#This Row],[Selling Price]]-Table_supermarket_sales___Sheet1[[#This Row],[Cost Price]]</f>
        <v>14.795999999999999</v>
      </c>
    </row>
    <row r="685" spans="1:4" x14ac:dyDescent="0.35">
      <c r="A685" t="s">
        <v>1</v>
      </c>
      <c r="B685" s="20">
        <f>Table_supermarket_sales___Sheet1[[#This Row],[Cost Price]]+Table57[[#This Row],[Markup Cost]]</f>
        <v>23.628</v>
      </c>
      <c r="C685">
        <v>3</v>
      </c>
      <c r="D685" s="21">
        <f>Table4[[#This Row],[Selling Price]]-Table_supermarket_sales___Sheet1[[#This Row],[Cost Price]]</f>
        <v>2.1479999999999997</v>
      </c>
    </row>
    <row r="686" spans="1:4" x14ac:dyDescent="0.35">
      <c r="A686" t="s">
        <v>6</v>
      </c>
      <c r="B686" s="20">
        <f>Table_supermarket_sales___Sheet1[[#This Row],[Cost Price]]+Table57[[#This Row],[Markup Cost]]</f>
        <v>30.003999999999998</v>
      </c>
      <c r="C686">
        <v>2</v>
      </c>
      <c r="D686" s="21">
        <f>Table4[[#This Row],[Selling Price]]-Table_supermarket_sales___Sheet1[[#This Row],[Cost Price]]</f>
        <v>6.9239999999999995</v>
      </c>
    </row>
    <row r="687" spans="1:4" x14ac:dyDescent="0.35">
      <c r="A687" t="s">
        <v>5</v>
      </c>
      <c r="B687" s="20">
        <f>Table_supermarket_sales___Sheet1[[#This Row],[Cost Price]]+Table57[[#This Row],[Markup Cost]]</f>
        <v>54.010000000000005</v>
      </c>
      <c r="C687">
        <v>5</v>
      </c>
      <c r="D687" s="21">
        <f>Table4[[#This Row],[Selling Price]]-Table_supermarket_sales___Sheet1[[#This Row],[Cost Price]]</f>
        <v>4.9100000000000037</v>
      </c>
    </row>
    <row r="688" spans="1:4" x14ac:dyDescent="0.35">
      <c r="A688" t="s">
        <v>2</v>
      </c>
      <c r="B688" s="20">
        <f>Table_supermarket_sales___Sheet1[[#This Row],[Cost Price]]+Table57[[#This Row],[Markup Cost]]</f>
        <v>71.313000000000002</v>
      </c>
      <c r="C688">
        <v>7</v>
      </c>
      <c r="D688" s="21">
        <f>Table4[[#This Row],[Selling Price]]-Table_supermarket_sales___Sheet1[[#This Row],[Cost Price]]</f>
        <v>6.4830000000000041</v>
      </c>
    </row>
    <row r="689" spans="1:4" x14ac:dyDescent="0.35">
      <c r="A689" t="s">
        <v>6</v>
      </c>
      <c r="B689" s="20">
        <f>Table_supermarket_sales___Sheet1[[#This Row],[Cost Price]]+Table57[[#This Row],[Markup Cost]]</f>
        <v>95.34</v>
      </c>
      <c r="C689">
        <v>10</v>
      </c>
      <c r="D689" s="21">
        <f>Table4[[#This Row],[Selling Price]]-Table_supermarket_sales___Sheet1[[#This Row],[Cost Price]]</f>
        <v>31.78</v>
      </c>
    </row>
    <row r="690" spans="1:4" x14ac:dyDescent="0.35">
      <c r="A690" t="s">
        <v>3</v>
      </c>
      <c r="B690" s="20">
        <f>Table_supermarket_sales___Sheet1[[#This Row],[Cost Price]]+Table57[[#This Row],[Markup Cost]]</f>
        <v>80.167999999999992</v>
      </c>
      <c r="C690">
        <v>1</v>
      </c>
      <c r="D690" s="21">
        <f>Table4[[#This Row],[Selling Price]]-Table_supermarket_sales___Sheet1[[#This Row],[Cost Price]]</f>
        <v>7.2879999999999967</v>
      </c>
    </row>
    <row r="691" spans="1:4" x14ac:dyDescent="0.35">
      <c r="A691" t="s">
        <v>2</v>
      </c>
      <c r="B691" s="20">
        <f>Table_supermarket_sales___Sheet1[[#This Row],[Cost Price]]+Table57[[#This Row],[Markup Cost]]</f>
        <v>77.164999999999992</v>
      </c>
      <c r="C691">
        <v>7</v>
      </c>
      <c r="D691" s="21">
        <f>Table4[[#This Row],[Selling Price]]-Table_supermarket_sales___Sheet1[[#This Row],[Cost Price]]</f>
        <v>10.064999999999998</v>
      </c>
    </row>
    <row r="692" spans="1:4" x14ac:dyDescent="0.35">
      <c r="A692" t="s">
        <v>3</v>
      </c>
      <c r="B692" s="20">
        <f>Table_supermarket_sales___Sheet1[[#This Row],[Cost Price]]+Table57[[#This Row],[Markup Cost]]</f>
        <v>101.77549999999999</v>
      </c>
      <c r="C692">
        <v>6</v>
      </c>
      <c r="D692" s="21">
        <f>Table4[[#This Row],[Selling Price]]-Table_supermarket_sales___Sheet1[[#This Row],[Cost Price]]</f>
        <v>31.585499999999996</v>
      </c>
    </row>
    <row r="693" spans="1:4" x14ac:dyDescent="0.35">
      <c r="A693" t="s">
        <v>5</v>
      </c>
      <c r="B693" s="20">
        <f>Table_supermarket_sales___Sheet1[[#This Row],[Cost Price]]+Table57[[#This Row],[Markup Cost]]</f>
        <v>74.304000000000002</v>
      </c>
      <c r="C693">
        <v>8</v>
      </c>
      <c r="D693" s="21">
        <f>Table4[[#This Row],[Selling Price]]-Table_supermarket_sales___Sheet1[[#This Row],[Cost Price]]</f>
        <v>19.264000000000003</v>
      </c>
    </row>
    <row r="694" spans="1:4" x14ac:dyDescent="0.35">
      <c r="A694" t="s">
        <v>5</v>
      </c>
      <c r="B694" s="20">
        <f>Table_supermarket_sales___Sheet1[[#This Row],[Cost Price]]+Table57[[#This Row],[Markup Cost]]</f>
        <v>72.945000000000007</v>
      </c>
      <c r="C694">
        <v>3</v>
      </c>
      <c r="D694" s="21">
        <f>Table4[[#This Row],[Selling Price]]-Table_supermarket_sales___Sheet1[[#This Row],[Cost Price]]</f>
        <v>24.315000000000005</v>
      </c>
    </row>
    <row r="695" spans="1:4" x14ac:dyDescent="0.35">
      <c r="A695" t="s">
        <v>5</v>
      </c>
      <c r="B695" s="20">
        <f>Table_supermarket_sales___Sheet1[[#This Row],[Cost Price]]+Table57[[#This Row],[Markup Cost]]</f>
        <v>99.062999999999988</v>
      </c>
      <c r="C695">
        <v>6</v>
      </c>
      <c r="D695" s="21">
        <f>Table4[[#This Row],[Selling Price]]-Table_supermarket_sales___Sheet1[[#This Row],[Cost Price]]</f>
        <v>25.682999999999993</v>
      </c>
    </row>
    <row r="696" spans="1:4" x14ac:dyDescent="0.35">
      <c r="A696" t="s">
        <v>6</v>
      </c>
      <c r="B696" s="20">
        <f>Table_supermarket_sales___Sheet1[[#This Row],[Cost Price]]+Table57[[#This Row],[Markup Cost]]</f>
        <v>76.27000000000001</v>
      </c>
      <c r="C696">
        <v>6</v>
      </c>
      <c r="D696" s="21">
        <f>Table4[[#This Row],[Selling Price]]-Table_supermarket_sales___Sheet1[[#This Row],[Cost Price]]</f>
        <v>23.670000000000009</v>
      </c>
    </row>
    <row r="697" spans="1:4" x14ac:dyDescent="0.35">
      <c r="A697" t="s">
        <v>1</v>
      </c>
      <c r="B697" s="20">
        <f>Table_supermarket_sales___Sheet1[[#This Row],[Cost Price]]+Table57[[#This Row],[Markup Cost]]</f>
        <v>109.21250000000001</v>
      </c>
      <c r="C697">
        <v>10</v>
      </c>
      <c r="D697" s="21">
        <f>Table4[[#This Row],[Selling Price]]-Table_supermarket_sales___Sheet1[[#This Row],[Cost Price]]</f>
        <v>21.842500000000001</v>
      </c>
    </row>
    <row r="698" spans="1:4" x14ac:dyDescent="0.35">
      <c r="A698" t="s">
        <v>2</v>
      </c>
      <c r="B698" s="20">
        <f>Table_supermarket_sales___Sheet1[[#This Row],[Cost Price]]+Table57[[#This Row],[Markup Cost]]</f>
        <v>32.448</v>
      </c>
      <c r="C698">
        <v>7</v>
      </c>
      <c r="D698" s="21">
        <f>Table4[[#This Row],[Selling Price]]-Table_supermarket_sales___Sheet1[[#This Row],[Cost Price]]</f>
        <v>5.4080000000000013</v>
      </c>
    </row>
    <row r="699" spans="1:4" x14ac:dyDescent="0.35">
      <c r="A699" t="s">
        <v>6</v>
      </c>
      <c r="B699" s="20">
        <f>Table_supermarket_sales___Sheet1[[#This Row],[Cost Price]]+Table57[[#This Row],[Markup Cost]]</f>
        <v>74.628</v>
      </c>
      <c r="C699">
        <v>7</v>
      </c>
      <c r="D699" s="21">
        <f>Table4[[#This Row],[Selling Price]]-Table_supermarket_sales___Sheet1[[#This Row],[Cost Price]]</f>
        <v>12.438000000000002</v>
      </c>
    </row>
    <row r="700" spans="1:4" x14ac:dyDescent="0.35">
      <c r="A700" t="s">
        <v>5</v>
      </c>
      <c r="B700" s="20">
        <f>Table_supermarket_sales___Sheet1[[#This Row],[Cost Price]]+Table57[[#This Row],[Markup Cost]]</f>
        <v>100.89099999999999</v>
      </c>
      <c r="C700">
        <v>5</v>
      </c>
      <c r="D700" s="21">
        <f>Table4[[#This Row],[Selling Price]]-Table_supermarket_sales___Sheet1[[#This Row],[Cost Price]]</f>
        <v>31.310999999999993</v>
      </c>
    </row>
    <row r="701" spans="1:4" x14ac:dyDescent="0.35">
      <c r="A701" t="s">
        <v>3</v>
      </c>
      <c r="B701" s="20">
        <f>Table_supermarket_sales___Sheet1[[#This Row],[Cost Price]]+Table57[[#This Row],[Markup Cost]]</f>
        <v>146.25</v>
      </c>
      <c r="C701">
        <v>9</v>
      </c>
      <c r="D701" s="21">
        <f>Table4[[#This Row],[Selling Price]]-Table_supermarket_sales___Sheet1[[#This Row],[Cost Price]]</f>
        <v>48.75</v>
      </c>
    </row>
    <row r="702" spans="1:4" x14ac:dyDescent="0.35">
      <c r="A702" t="s">
        <v>4</v>
      </c>
      <c r="B702" s="20">
        <f>Table_supermarket_sales___Sheet1[[#This Row],[Cost Price]]+Table57[[#This Row],[Markup Cost]]</f>
        <v>84.573999999999998</v>
      </c>
      <c r="C702">
        <v>6</v>
      </c>
      <c r="D702" s="21">
        <f>Table4[[#This Row],[Selling Price]]-Table_supermarket_sales___Sheet1[[#This Row],[Cost Price]]</f>
        <v>24.164000000000001</v>
      </c>
    </row>
    <row r="703" spans="1:4" x14ac:dyDescent="0.35">
      <c r="A703" t="s">
        <v>3</v>
      </c>
      <c r="B703" s="20">
        <f>Table_supermarket_sales___Sheet1[[#This Row],[Cost Price]]+Table57[[#This Row],[Markup Cost]]</f>
        <v>37.167999999999999</v>
      </c>
      <c r="C703">
        <v>8</v>
      </c>
      <c r="D703" s="21">
        <f>Table4[[#This Row],[Selling Price]]-Table_supermarket_sales___Sheet1[[#This Row],[Cost Price]]</f>
        <v>4.847999999999999</v>
      </c>
    </row>
    <row r="704" spans="1:4" x14ac:dyDescent="0.35">
      <c r="A704" t="s">
        <v>4</v>
      </c>
      <c r="B704" s="20">
        <f>Table_supermarket_sales___Sheet1[[#This Row],[Cost Price]]+Table57[[#This Row],[Markup Cost]]</f>
        <v>29.655000000000001</v>
      </c>
      <c r="C704">
        <v>5</v>
      </c>
      <c r="D704" s="21">
        <f>Table4[[#This Row],[Selling Price]]-Table_supermarket_sales___Sheet1[[#This Row],[Cost Price]]</f>
        <v>9.8850000000000016</v>
      </c>
    </row>
    <row r="705" spans="1:4" x14ac:dyDescent="0.35">
      <c r="A705" t="s">
        <v>2</v>
      </c>
      <c r="B705" s="20">
        <f>Table_supermarket_sales___Sheet1[[#This Row],[Cost Price]]+Table57[[#This Row],[Markup Cost]]</f>
        <v>116.6815</v>
      </c>
      <c r="C705">
        <v>4</v>
      </c>
      <c r="D705" s="21">
        <f>Table4[[#This Row],[Selling Price]]-Table_supermarket_sales___Sheet1[[#This Row],[Cost Price]]</f>
        <v>36.211500000000001</v>
      </c>
    </row>
    <row r="706" spans="1:4" x14ac:dyDescent="0.35">
      <c r="A706" t="s">
        <v>3</v>
      </c>
      <c r="B706" s="20">
        <f>Table_supermarket_sales___Sheet1[[#This Row],[Cost Price]]+Table57[[#This Row],[Markup Cost]]</f>
        <v>128.16550000000001</v>
      </c>
      <c r="C706">
        <v>4</v>
      </c>
      <c r="D706" s="21">
        <f>Table4[[#This Row],[Selling Price]]-Table_supermarket_sales___Sheet1[[#This Row],[Cost Price]]</f>
        <v>39.775500000000008</v>
      </c>
    </row>
    <row r="707" spans="1:4" x14ac:dyDescent="0.35">
      <c r="A707" t="s">
        <v>4</v>
      </c>
      <c r="B707" s="20">
        <f>Table_supermarket_sales___Sheet1[[#This Row],[Cost Price]]+Table57[[#This Row],[Markup Cost]]</f>
        <v>96.889499999999998</v>
      </c>
      <c r="C707">
        <v>2</v>
      </c>
      <c r="D707" s="21">
        <f>Table4[[#This Row],[Selling Price]]-Table_supermarket_sales___Sheet1[[#This Row],[Cost Price]]</f>
        <v>25.119500000000002</v>
      </c>
    </row>
    <row r="708" spans="1:4" x14ac:dyDescent="0.35">
      <c r="A708" t="s">
        <v>3</v>
      </c>
      <c r="B708" s="20">
        <f>Table_supermarket_sales___Sheet1[[#This Row],[Cost Price]]+Table57[[#This Row],[Markup Cost]]</f>
        <v>51.6</v>
      </c>
      <c r="C708">
        <v>7</v>
      </c>
      <c r="D708" s="21">
        <f>Table4[[#This Row],[Selling Price]]-Table_supermarket_sales___Sheet1[[#This Row],[Cost Price]]</f>
        <v>8.6000000000000014</v>
      </c>
    </row>
    <row r="709" spans="1:4" x14ac:dyDescent="0.35">
      <c r="A709" t="s">
        <v>4</v>
      </c>
      <c r="B709" s="20">
        <f>Table_supermarket_sales___Sheet1[[#This Row],[Cost Price]]+Table57[[#This Row],[Markup Cost]]</f>
        <v>72.429000000000002</v>
      </c>
      <c r="C709">
        <v>3</v>
      </c>
      <c r="D709" s="21">
        <f>Table4[[#This Row],[Selling Price]]-Table_supermarket_sales___Sheet1[[#This Row],[Cost Price]]</f>
        <v>3.4489999999999981</v>
      </c>
    </row>
    <row r="710" spans="1:4" x14ac:dyDescent="0.35">
      <c r="A710" t="s">
        <v>3</v>
      </c>
      <c r="B710" s="20">
        <f>Table_supermarket_sales___Sheet1[[#This Row],[Cost Price]]+Table57[[#This Row],[Markup Cost]]</f>
        <v>21.867999999999999</v>
      </c>
      <c r="C710">
        <v>10</v>
      </c>
      <c r="D710" s="21">
        <f>Table4[[#This Row],[Selling Price]]-Table_supermarket_sales___Sheet1[[#This Row],[Cost Price]]</f>
        <v>6.2479999999999993</v>
      </c>
    </row>
    <row r="711" spans="1:4" x14ac:dyDescent="0.35">
      <c r="A711" t="s">
        <v>4</v>
      </c>
      <c r="B711" s="20">
        <f>Table_supermarket_sales___Sheet1[[#This Row],[Cost Price]]+Table57[[#This Row],[Markup Cost]]</f>
        <v>29.555</v>
      </c>
      <c r="C711">
        <v>6</v>
      </c>
      <c r="D711" s="21">
        <f>Table4[[#This Row],[Selling Price]]-Table_supermarket_sales___Sheet1[[#This Row],[Cost Price]]</f>
        <v>3.8550000000000004</v>
      </c>
    </row>
    <row r="712" spans="1:4" x14ac:dyDescent="0.35">
      <c r="A712" t="s">
        <v>2</v>
      </c>
      <c r="B712" s="20">
        <f>Table_supermarket_sales___Sheet1[[#This Row],[Cost Price]]+Table57[[#This Row],[Markup Cost]]</f>
        <v>104.80600000000001</v>
      </c>
      <c r="C712">
        <v>2</v>
      </c>
      <c r="D712" s="21">
        <f>Table4[[#This Row],[Selling Price]]-Table_supermarket_sales___Sheet1[[#This Row],[Cost Price]]</f>
        <v>24.186000000000007</v>
      </c>
    </row>
    <row r="713" spans="1:4" x14ac:dyDescent="0.35">
      <c r="A713" t="s">
        <v>1</v>
      </c>
      <c r="B713" s="20">
        <f>Table_supermarket_sales___Sheet1[[#This Row],[Cost Price]]+Table57[[#This Row],[Markup Cost]]</f>
        <v>90.635999999999996</v>
      </c>
      <c r="C713">
        <v>3</v>
      </c>
      <c r="D713" s="21">
        <f>Table4[[#This Row],[Selling Price]]-Table_supermarket_sales___Sheet1[[#This Row],[Cost Price]]</f>
        <v>15.105999999999995</v>
      </c>
    </row>
    <row r="714" spans="1:4" x14ac:dyDescent="0.35">
      <c r="A714" t="s">
        <v>4</v>
      </c>
      <c r="B714" s="20">
        <f>Table_supermarket_sales___Sheet1[[#This Row],[Cost Price]]+Table57[[#This Row],[Markup Cost]]</f>
        <v>112.5635</v>
      </c>
      <c r="C714">
        <v>2</v>
      </c>
      <c r="D714" s="21">
        <f>Table4[[#This Row],[Selling Price]]-Table_supermarket_sales___Sheet1[[#This Row],[Cost Price]]</f>
        <v>34.933500000000009</v>
      </c>
    </row>
    <row r="715" spans="1:4" x14ac:dyDescent="0.35">
      <c r="A715" t="s">
        <v>2</v>
      </c>
      <c r="B715" s="20">
        <f>Table_supermarket_sales___Sheet1[[#This Row],[Cost Price]]+Table57[[#This Row],[Markup Cost]]</f>
        <v>20.0825</v>
      </c>
      <c r="C715">
        <v>1</v>
      </c>
      <c r="D715" s="21">
        <f>Table4[[#This Row],[Selling Price]]-Table_supermarket_sales___Sheet1[[#This Row],[Cost Price]]</f>
        <v>6.2324999999999999</v>
      </c>
    </row>
    <row r="716" spans="1:4" x14ac:dyDescent="0.35">
      <c r="A716" t="s">
        <v>1</v>
      </c>
      <c r="B716" s="20">
        <f>Table_supermarket_sales___Sheet1[[#This Row],[Cost Price]]+Table57[[#This Row],[Markup Cost]]</f>
        <v>138.18</v>
      </c>
      <c r="C716">
        <v>6</v>
      </c>
      <c r="D716" s="21">
        <f>Table4[[#This Row],[Selling Price]]-Table_supermarket_sales___Sheet1[[#This Row],[Cost Price]]</f>
        <v>39.480000000000004</v>
      </c>
    </row>
    <row r="717" spans="1:4" x14ac:dyDescent="0.35">
      <c r="A717" t="s">
        <v>3</v>
      </c>
      <c r="B717" s="20">
        <f>Table_supermarket_sales___Sheet1[[#This Row],[Cost Price]]+Table57[[#This Row],[Markup Cost]]</f>
        <v>44.6</v>
      </c>
      <c r="C717">
        <v>8</v>
      </c>
      <c r="D717" s="21">
        <f>Table4[[#This Row],[Selling Price]]-Table_supermarket_sales___Sheet1[[#This Row],[Cost Price]]</f>
        <v>8.9200000000000017</v>
      </c>
    </row>
    <row r="718" spans="1:4" x14ac:dyDescent="0.35">
      <c r="A718" t="s">
        <v>4</v>
      </c>
      <c r="B718" s="20">
        <f>Table_supermarket_sales___Sheet1[[#This Row],[Cost Price]]+Table57[[#This Row],[Markup Cost]]</f>
        <v>96.470999999999989</v>
      </c>
      <c r="C718">
        <v>1</v>
      </c>
      <c r="D718" s="21">
        <f>Table4[[#This Row],[Selling Price]]-Table_supermarket_sales___Sheet1[[#This Row],[Cost Price]]</f>
        <v>25.010999999999996</v>
      </c>
    </row>
    <row r="719" spans="1:4" x14ac:dyDescent="0.35">
      <c r="A719" t="s">
        <v>6</v>
      </c>
      <c r="B719" s="20">
        <f>Table_supermarket_sales___Sheet1[[#This Row],[Cost Price]]+Table57[[#This Row],[Markup Cost]]</f>
        <v>13.731</v>
      </c>
      <c r="C719">
        <v>7</v>
      </c>
      <c r="D719" s="21">
        <f>Table4[[#This Row],[Selling Price]]-Table_supermarket_sales___Sheet1[[#This Row],[Cost Price]]</f>
        <v>1.7910000000000004</v>
      </c>
    </row>
    <row r="720" spans="1:4" x14ac:dyDescent="0.35">
      <c r="A720" t="s">
        <v>6</v>
      </c>
      <c r="B720" s="20">
        <f>Table_supermarket_sales___Sheet1[[#This Row],[Cost Price]]+Table57[[#This Row],[Markup Cost]]</f>
        <v>52.187000000000005</v>
      </c>
      <c r="C720">
        <v>6</v>
      </c>
      <c r="D720" s="21">
        <f>Table4[[#This Row],[Selling Price]]-Table_supermarket_sales___Sheet1[[#This Row],[Cost Price]]</f>
        <v>6.8070000000000022</v>
      </c>
    </row>
    <row r="721" spans="1:4" x14ac:dyDescent="0.35">
      <c r="A721" t="s">
        <v>3</v>
      </c>
      <c r="B721" s="20">
        <f>Table_supermarket_sales___Sheet1[[#This Row],[Cost Price]]+Table57[[#This Row],[Markup Cost]]</f>
        <v>22.724</v>
      </c>
      <c r="C721">
        <v>2</v>
      </c>
      <c r="D721" s="21">
        <f>Table4[[#This Row],[Selling Price]]-Table_supermarket_sales___Sheet1[[#This Row],[Cost Price]]</f>
        <v>5.2439999999999998</v>
      </c>
    </row>
    <row r="722" spans="1:4" x14ac:dyDescent="0.35">
      <c r="A722" t="s">
        <v>1</v>
      </c>
      <c r="B722" s="20">
        <f>Table_supermarket_sales___Sheet1[[#This Row],[Cost Price]]+Table57[[#This Row],[Markup Cost]]</f>
        <v>34.506</v>
      </c>
      <c r="C722">
        <v>7</v>
      </c>
      <c r="D722" s="21">
        <f>Table4[[#This Row],[Selling Price]]-Table_supermarket_sales___Sheet1[[#This Row],[Cost Price]]</f>
        <v>8.9460000000000015</v>
      </c>
    </row>
    <row r="723" spans="1:4" x14ac:dyDescent="0.35">
      <c r="A723" t="s">
        <v>3</v>
      </c>
      <c r="B723" s="20">
        <f>Table_supermarket_sales___Sheet1[[#This Row],[Cost Price]]+Table57[[#This Row],[Markup Cost]]</f>
        <v>131.4135</v>
      </c>
      <c r="C723">
        <v>3</v>
      </c>
      <c r="D723" s="21">
        <f>Table4[[#This Row],[Selling Price]]-Table_supermarket_sales___Sheet1[[#This Row],[Cost Price]]</f>
        <v>40.783500000000004</v>
      </c>
    </row>
    <row r="724" spans="1:4" x14ac:dyDescent="0.35">
      <c r="A724" t="s">
        <v>3</v>
      </c>
      <c r="B724" s="20">
        <f>Table_supermarket_sales___Sheet1[[#This Row],[Cost Price]]+Table57[[#This Row],[Markup Cost]]</f>
        <v>50.738</v>
      </c>
      <c r="C724">
        <v>4</v>
      </c>
      <c r="D724" s="21">
        <f>Table4[[#This Row],[Selling Price]]-Table_supermarket_sales___Sheet1[[#This Row],[Cost Price]]</f>
        <v>6.6180000000000021</v>
      </c>
    </row>
    <row r="725" spans="1:4" x14ac:dyDescent="0.35">
      <c r="A725" t="s">
        <v>6</v>
      </c>
      <c r="B725" s="20">
        <f>Table_supermarket_sales___Sheet1[[#This Row],[Cost Price]]+Table57[[#This Row],[Markup Cost]]</f>
        <v>49.639500000000005</v>
      </c>
      <c r="C725">
        <v>1</v>
      </c>
      <c r="D725" s="21">
        <f>Table4[[#This Row],[Selling Price]]-Table_supermarket_sales___Sheet1[[#This Row],[Cost Price]]</f>
        <v>12.869500000000002</v>
      </c>
    </row>
    <row r="726" spans="1:4" x14ac:dyDescent="0.35">
      <c r="A726" t="s">
        <v>1</v>
      </c>
      <c r="B726" s="20">
        <f>Table_supermarket_sales___Sheet1[[#This Row],[Cost Price]]+Table57[[#This Row],[Markup Cost]]</f>
        <v>28.007999999999999</v>
      </c>
      <c r="C726">
        <v>8</v>
      </c>
      <c r="D726" s="21">
        <f>Table4[[#This Row],[Selling Price]]-Table_supermarket_sales___Sheet1[[#This Row],[Cost Price]]</f>
        <v>4.6679999999999993</v>
      </c>
    </row>
    <row r="727" spans="1:4" x14ac:dyDescent="0.35">
      <c r="A727" t="s">
        <v>6</v>
      </c>
      <c r="B727" s="20">
        <f>Table_supermarket_sales___Sheet1[[#This Row],[Cost Price]]+Table57[[#This Row],[Markup Cost]]</f>
        <v>39.9</v>
      </c>
      <c r="C727">
        <v>7</v>
      </c>
      <c r="D727" s="21">
        <f>Table4[[#This Row],[Selling Price]]-Table_supermarket_sales___Sheet1[[#This Row],[Cost Price]]</f>
        <v>11.399999999999999</v>
      </c>
    </row>
    <row r="728" spans="1:4" x14ac:dyDescent="0.35">
      <c r="A728" t="s">
        <v>5</v>
      </c>
      <c r="B728" s="20">
        <f>Table_supermarket_sales___Sheet1[[#This Row],[Cost Price]]+Table57[[#This Row],[Markup Cost]]</f>
        <v>63.905500000000004</v>
      </c>
      <c r="C728">
        <v>2</v>
      </c>
      <c r="D728" s="21">
        <f>Table4[[#This Row],[Selling Price]]-Table_supermarket_sales___Sheet1[[#This Row],[Cost Price]]</f>
        <v>8.3355000000000032</v>
      </c>
    </row>
    <row r="729" spans="1:4" x14ac:dyDescent="0.35">
      <c r="A729" t="s">
        <v>3</v>
      </c>
      <c r="B729" s="20">
        <f>Table_supermarket_sales___Sheet1[[#This Row],[Cost Price]]+Table57[[#This Row],[Markup Cost]]</f>
        <v>104.60999999999999</v>
      </c>
      <c r="C729">
        <v>10</v>
      </c>
      <c r="D729" s="21">
        <f>Table4[[#This Row],[Selling Price]]-Table_supermarket_sales___Sheet1[[#This Row],[Cost Price]]</f>
        <v>34.86999999999999</v>
      </c>
    </row>
    <row r="730" spans="1:4" x14ac:dyDescent="0.35">
      <c r="A730" t="s">
        <v>6</v>
      </c>
      <c r="B730" s="20">
        <f>Table_supermarket_sales___Sheet1[[#This Row],[Cost Price]]+Table57[[#This Row],[Markup Cost]]</f>
        <v>116.712</v>
      </c>
      <c r="C730">
        <v>9</v>
      </c>
      <c r="D730" s="21">
        <f>Table4[[#This Row],[Selling Price]]-Table_supermarket_sales___Sheet1[[#This Row],[Cost Price]]</f>
        <v>19.451999999999998</v>
      </c>
    </row>
    <row r="731" spans="1:4" x14ac:dyDescent="0.35">
      <c r="A731" t="s">
        <v>5</v>
      </c>
      <c r="B731" s="20">
        <f>Table_supermarket_sales___Sheet1[[#This Row],[Cost Price]]+Table57[[#This Row],[Markup Cost]]</f>
        <v>70.442999999999998</v>
      </c>
      <c r="C731">
        <v>1</v>
      </c>
      <c r="D731" s="21">
        <f>Table4[[#This Row],[Selling Price]]-Table_supermarket_sales___Sheet1[[#This Row],[Cost Price]]</f>
        <v>18.262999999999998</v>
      </c>
    </row>
    <row r="732" spans="1:4" x14ac:dyDescent="0.35">
      <c r="A732" t="s">
        <v>4</v>
      </c>
      <c r="B732" s="20">
        <f>Table_supermarket_sales___Sheet1[[#This Row],[Cost Price]]+Table57[[#This Row],[Markup Cost]]</f>
        <v>26.783999999999999</v>
      </c>
      <c r="C732">
        <v>3</v>
      </c>
      <c r="D732" s="21">
        <f>Table4[[#This Row],[Selling Price]]-Table_supermarket_sales___Sheet1[[#This Row],[Cost Price]]</f>
        <v>4.4639999999999986</v>
      </c>
    </row>
    <row r="733" spans="1:4" x14ac:dyDescent="0.35">
      <c r="A733" t="s">
        <v>1</v>
      </c>
      <c r="B733" s="20">
        <f>Table_supermarket_sales___Sheet1[[#This Row],[Cost Price]]+Table57[[#This Row],[Markup Cost]]</f>
        <v>64.400000000000006</v>
      </c>
      <c r="C733">
        <v>9</v>
      </c>
      <c r="D733" s="21">
        <f>Table4[[#This Row],[Selling Price]]-Table_supermarket_sales___Sheet1[[#This Row],[Cost Price]]</f>
        <v>8.4000000000000057</v>
      </c>
    </row>
    <row r="734" spans="1:4" x14ac:dyDescent="0.35">
      <c r="A734" t="s">
        <v>2</v>
      </c>
      <c r="B734" s="20">
        <f>Table_supermarket_sales___Sheet1[[#This Row],[Cost Price]]+Table57[[#This Row],[Markup Cost]]</f>
        <v>20.684999999999999</v>
      </c>
      <c r="C734">
        <v>10</v>
      </c>
      <c r="D734" s="21">
        <f>Table4[[#This Row],[Selling Price]]-Table_supermarket_sales___Sheet1[[#This Row],[Cost Price]]</f>
        <v>0.98499999999999943</v>
      </c>
    </row>
    <row r="735" spans="1:4" x14ac:dyDescent="0.35">
      <c r="A735" t="s">
        <v>1</v>
      </c>
      <c r="B735" s="20">
        <f>Table_supermarket_sales___Sheet1[[#This Row],[Cost Price]]+Table57[[#This Row],[Markup Cost]]</f>
        <v>102.43799999999999</v>
      </c>
      <c r="C735">
        <v>8</v>
      </c>
      <c r="D735" s="21">
        <f>Table4[[#This Row],[Selling Price]]-Table_supermarket_sales___Sheet1[[#This Row],[Cost Price]]</f>
        <v>26.557999999999993</v>
      </c>
    </row>
    <row r="736" spans="1:4" x14ac:dyDescent="0.35">
      <c r="A736" t="s">
        <v>4</v>
      </c>
      <c r="B736" s="20">
        <f>Table_supermarket_sales___Sheet1[[#This Row],[Cost Price]]+Table57[[#This Row],[Markup Cost]]</f>
        <v>56.405999999999999</v>
      </c>
      <c r="C736">
        <v>3</v>
      </c>
      <c r="D736" s="21">
        <f>Table4[[#This Row],[Selling Price]]-Table_supermarket_sales___Sheet1[[#This Row],[Cost Price]]</f>
        <v>2.6859999999999999</v>
      </c>
    </row>
    <row r="737" spans="1:4" x14ac:dyDescent="0.35">
      <c r="A737" t="s">
        <v>4</v>
      </c>
      <c r="B737" s="20">
        <f>Table_supermarket_sales___Sheet1[[#This Row],[Cost Price]]+Table57[[#This Row],[Markup Cost]]</f>
        <v>122.92500000000001</v>
      </c>
      <c r="C737">
        <v>5</v>
      </c>
      <c r="D737" s="21">
        <f>Table4[[#This Row],[Selling Price]]-Table_supermarket_sales___Sheet1[[#This Row],[Cost Price]]</f>
        <v>40.975000000000009</v>
      </c>
    </row>
    <row r="738" spans="1:4" x14ac:dyDescent="0.35">
      <c r="A738" t="s">
        <v>5</v>
      </c>
      <c r="B738" s="20">
        <f>Table_supermarket_sales___Sheet1[[#This Row],[Cost Price]]+Table57[[#This Row],[Markup Cost]]</f>
        <v>109.62</v>
      </c>
      <c r="C738">
        <v>3</v>
      </c>
      <c r="D738" s="21">
        <f>Table4[[#This Row],[Selling Price]]-Table_supermarket_sales___Sheet1[[#This Row],[Cost Price]]</f>
        <v>28.42</v>
      </c>
    </row>
    <row r="739" spans="1:4" x14ac:dyDescent="0.35">
      <c r="A739" t="s">
        <v>1</v>
      </c>
      <c r="B739" s="20">
        <f>Table_supermarket_sales___Sheet1[[#This Row],[Cost Price]]+Table57[[#This Row],[Markup Cost]]</f>
        <v>88.14</v>
      </c>
      <c r="C739">
        <v>2</v>
      </c>
      <c r="D739" s="21">
        <f>Table4[[#This Row],[Selling Price]]-Table_supermarket_sales___Sheet1[[#This Row],[Cost Price]]</f>
        <v>29.380000000000003</v>
      </c>
    </row>
    <row r="740" spans="1:4" x14ac:dyDescent="0.35">
      <c r="A740" t="s">
        <v>3</v>
      </c>
      <c r="B740" s="20">
        <f>Table_supermarket_sales___Sheet1[[#This Row],[Cost Price]]+Table57[[#This Row],[Markup Cost]]</f>
        <v>128.184</v>
      </c>
      <c r="C740">
        <v>10</v>
      </c>
      <c r="D740" s="21">
        <f>Table4[[#This Row],[Selling Price]]-Table_supermarket_sales___Sheet1[[#This Row],[Cost Price]]</f>
        <v>36.623999999999995</v>
      </c>
    </row>
    <row r="741" spans="1:4" x14ac:dyDescent="0.35">
      <c r="A741" t="s">
        <v>1</v>
      </c>
      <c r="B741" s="20">
        <f>Table_supermarket_sales___Sheet1[[#This Row],[Cost Price]]+Table57[[#This Row],[Markup Cost]]</f>
        <v>136.24199999999999</v>
      </c>
      <c r="C741">
        <v>7</v>
      </c>
      <c r="D741" s="21">
        <f>Table4[[#This Row],[Selling Price]]-Table_supermarket_sales___Sheet1[[#This Row],[Cost Price]]</f>
        <v>42.281999999999996</v>
      </c>
    </row>
    <row r="742" spans="1:4" x14ac:dyDescent="0.35">
      <c r="A742" t="s">
        <v>4</v>
      </c>
      <c r="B742" s="20">
        <f>Table_supermarket_sales___Sheet1[[#This Row],[Cost Price]]+Table57[[#This Row],[Markup Cost]]</f>
        <v>75.073499999999996</v>
      </c>
      <c r="C742">
        <v>9</v>
      </c>
      <c r="D742" s="21">
        <f>Table4[[#This Row],[Selling Price]]-Table_supermarket_sales___Sheet1[[#This Row],[Cost Price]]</f>
        <v>19.463499999999996</v>
      </c>
    </row>
    <row r="743" spans="1:4" x14ac:dyDescent="0.35">
      <c r="A743" t="s">
        <v>5</v>
      </c>
      <c r="B743" s="20">
        <f>Table_supermarket_sales___Sheet1[[#This Row],[Cost Price]]+Table57[[#This Row],[Markup Cost]]</f>
        <v>89.0715</v>
      </c>
      <c r="C743">
        <v>8</v>
      </c>
      <c r="D743" s="21">
        <f>Table4[[#This Row],[Selling Price]]-Table_supermarket_sales___Sheet1[[#This Row],[Cost Price]]</f>
        <v>4.241500000000002</v>
      </c>
    </row>
    <row r="744" spans="1:4" x14ac:dyDescent="0.35">
      <c r="A744" t="s">
        <v>5</v>
      </c>
      <c r="B744" s="20">
        <f>Table_supermarket_sales___Sheet1[[#This Row],[Cost Price]]+Table57[[#This Row],[Markup Cost]]</f>
        <v>78.792999999999992</v>
      </c>
      <c r="C744">
        <v>3</v>
      </c>
      <c r="D744" s="21">
        <f>Table4[[#This Row],[Selling Price]]-Table_supermarket_sales___Sheet1[[#This Row],[Cost Price]]</f>
        <v>7.1629999999999967</v>
      </c>
    </row>
    <row r="745" spans="1:4" x14ac:dyDescent="0.35">
      <c r="A745" t="s">
        <v>2</v>
      </c>
      <c r="B745" s="20">
        <f>Table_supermarket_sales___Sheet1[[#This Row],[Cost Price]]+Table57[[#This Row],[Markup Cost]]</f>
        <v>41.458999999999996</v>
      </c>
      <c r="C745">
        <v>4</v>
      </c>
      <c r="D745" s="21">
        <f>Table4[[#This Row],[Selling Price]]-Table_supermarket_sales___Sheet1[[#This Row],[Cost Price]]</f>
        <v>3.7689999999999984</v>
      </c>
    </row>
    <row r="746" spans="1:4" x14ac:dyDescent="0.35">
      <c r="A746" t="s">
        <v>6</v>
      </c>
      <c r="B746" s="20">
        <f>Table_supermarket_sales___Sheet1[[#This Row],[Cost Price]]+Table57[[#This Row],[Markup Cost]]</f>
        <v>44.338000000000001</v>
      </c>
      <c r="C746">
        <v>9</v>
      </c>
      <c r="D746" s="21">
        <f>Table4[[#This Row],[Selling Price]]-Table_supermarket_sales___Sheet1[[#This Row],[Cost Price]]</f>
        <v>12.667999999999999</v>
      </c>
    </row>
    <row r="747" spans="1:4" x14ac:dyDescent="0.35">
      <c r="A747" t="s">
        <v>5</v>
      </c>
      <c r="B747" s="20">
        <f>Table_supermarket_sales___Sheet1[[#This Row],[Cost Price]]+Table57[[#This Row],[Markup Cost]]</f>
        <v>40.341000000000001</v>
      </c>
      <c r="C747">
        <v>4</v>
      </c>
      <c r="D747" s="21">
        <f>Table4[[#This Row],[Selling Price]]-Table_supermarket_sales___Sheet1[[#This Row],[Cost Price]]</f>
        <v>1.9209999999999994</v>
      </c>
    </row>
    <row r="748" spans="1:4" x14ac:dyDescent="0.35">
      <c r="A748" t="s">
        <v>2</v>
      </c>
      <c r="B748" s="20">
        <f>Table_supermarket_sales___Sheet1[[#This Row],[Cost Price]]+Table57[[#This Row],[Markup Cost]]</f>
        <v>97.844999999999999</v>
      </c>
      <c r="C748">
        <v>10</v>
      </c>
      <c r="D748" s="21">
        <f>Table4[[#This Row],[Selling Price]]-Table_supermarket_sales___Sheet1[[#This Row],[Cost Price]]</f>
        <v>32.614999999999995</v>
      </c>
    </row>
    <row r="749" spans="1:4" x14ac:dyDescent="0.35">
      <c r="A749" t="s">
        <v>2</v>
      </c>
      <c r="B749" s="20">
        <f>Table_supermarket_sales___Sheet1[[#This Row],[Cost Price]]+Table57[[#This Row],[Markup Cost]]</f>
        <v>13.1625</v>
      </c>
      <c r="C749">
        <v>7</v>
      </c>
      <c r="D749" s="21">
        <f>Table4[[#This Row],[Selling Price]]-Table_supermarket_sales___Sheet1[[#This Row],[Cost Price]]</f>
        <v>2.6325000000000003</v>
      </c>
    </row>
    <row r="750" spans="1:4" x14ac:dyDescent="0.35">
      <c r="A750" t="s">
        <v>4</v>
      </c>
      <c r="B750" s="20">
        <f>Table_supermarket_sales___Sheet1[[#This Row],[Cost Price]]+Table57[[#This Row],[Markup Cost]]</f>
        <v>17.820499999999999</v>
      </c>
      <c r="C750">
        <v>8</v>
      </c>
      <c r="D750" s="21">
        <f>Table4[[#This Row],[Selling Price]]-Table_supermarket_sales___Sheet1[[#This Row],[Cost Price]]</f>
        <v>5.5305</v>
      </c>
    </row>
    <row r="751" spans="1:4" x14ac:dyDescent="0.35">
      <c r="A751" t="s">
        <v>6</v>
      </c>
      <c r="B751" s="20">
        <f>Table_supermarket_sales___Sheet1[[#This Row],[Cost Price]]+Table57[[#This Row],[Markup Cost]]</f>
        <v>109.6605</v>
      </c>
      <c r="C751">
        <v>3</v>
      </c>
      <c r="D751" s="21">
        <f>Table4[[#This Row],[Selling Price]]-Table_supermarket_sales___Sheet1[[#This Row],[Cost Price]]</f>
        <v>28.430499999999995</v>
      </c>
    </row>
    <row r="752" spans="1:4" x14ac:dyDescent="0.35">
      <c r="A752" t="s">
        <v>3</v>
      </c>
      <c r="B752" s="20">
        <f>Table_supermarket_sales___Sheet1[[#This Row],[Cost Price]]+Table57[[#This Row],[Markup Cost]]</f>
        <v>26.783999999999999</v>
      </c>
      <c r="C752">
        <v>6</v>
      </c>
      <c r="D752" s="21">
        <f>Table4[[#This Row],[Selling Price]]-Table_supermarket_sales___Sheet1[[#This Row],[Cost Price]]</f>
        <v>4.4639999999999986</v>
      </c>
    </row>
    <row r="753" spans="1:4" x14ac:dyDescent="0.35">
      <c r="A753" t="s">
        <v>4</v>
      </c>
      <c r="B753" s="20">
        <f>Table_supermarket_sales___Sheet1[[#This Row],[Cost Price]]+Table57[[#This Row],[Markup Cost]]</f>
        <v>34.1</v>
      </c>
      <c r="C753">
        <v>1</v>
      </c>
      <c r="D753" s="21">
        <f>Table4[[#This Row],[Selling Price]]-Table_supermarket_sales___Sheet1[[#This Row],[Cost Price]]</f>
        <v>6.82</v>
      </c>
    </row>
    <row r="754" spans="1:4" x14ac:dyDescent="0.35">
      <c r="A754" t="s">
        <v>5</v>
      </c>
      <c r="B754" s="20">
        <f>Table_supermarket_sales___Sheet1[[#This Row],[Cost Price]]+Table57[[#This Row],[Markup Cost]]</f>
        <v>26.130000000000003</v>
      </c>
      <c r="C754">
        <v>1</v>
      </c>
      <c r="D754" s="21">
        <f>Table4[[#This Row],[Selling Price]]-Table_supermarket_sales___Sheet1[[#This Row],[Cost Price]]</f>
        <v>8.7100000000000009</v>
      </c>
    </row>
    <row r="755" spans="1:4" x14ac:dyDescent="0.35">
      <c r="A755" t="s">
        <v>3</v>
      </c>
      <c r="B755" s="20">
        <f>Table_supermarket_sales___Sheet1[[#This Row],[Cost Price]]+Table57[[#This Row],[Markup Cost]]</f>
        <v>91.6</v>
      </c>
      <c r="C755">
        <v>6</v>
      </c>
      <c r="D755" s="21">
        <f>Table4[[#This Row],[Selling Price]]-Table_supermarket_sales___Sheet1[[#This Row],[Cost Price]]</f>
        <v>18.319999999999993</v>
      </c>
    </row>
    <row r="756" spans="1:4" x14ac:dyDescent="0.35">
      <c r="A756" t="s">
        <v>3</v>
      </c>
      <c r="B756" s="20">
        <f>Table_supermarket_sales___Sheet1[[#This Row],[Cost Price]]+Table57[[#This Row],[Markup Cost]]</f>
        <v>97.600500000000011</v>
      </c>
      <c r="C756">
        <v>8</v>
      </c>
      <c r="D756" s="21">
        <f>Table4[[#This Row],[Selling Price]]-Table_supermarket_sales___Sheet1[[#This Row],[Cost Price]]</f>
        <v>12.730500000000006</v>
      </c>
    </row>
    <row r="757" spans="1:4" x14ac:dyDescent="0.35">
      <c r="A757" t="s">
        <v>6</v>
      </c>
      <c r="B757" s="20">
        <f>Table_supermarket_sales___Sheet1[[#This Row],[Cost Price]]+Table57[[#This Row],[Markup Cost]]</f>
        <v>136.20600000000002</v>
      </c>
      <c r="C757">
        <v>10</v>
      </c>
      <c r="D757" s="21">
        <f>Table4[[#This Row],[Selling Price]]-Table_supermarket_sales___Sheet1[[#This Row],[Cost Price]]</f>
        <v>38.916000000000011</v>
      </c>
    </row>
    <row r="758" spans="1:4" x14ac:dyDescent="0.35">
      <c r="A758" t="s">
        <v>6</v>
      </c>
      <c r="B758" s="20">
        <f>Table_supermarket_sales___Sheet1[[#This Row],[Cost Price]]+Table57[[#This Row],[Markup Cost]]</f>
        <v>50.036000000000001</v>
      </c>
      <c r="C758">
        <v>7</v>
      </c>
      <c r="D758" s="21">
        <f>Table4[[#This Row],[Selling Price]]-Table_supermarket_sales___Sheet1[[#This Row],[Cost Price]]</f>
        <v>14.295999999999999</v>
      </c>
    </row>
    <row r="759" spans="1:4" x14ac:dyDescent="0.35">
      <c r="A759" t="s">
        <v>5</v>
      </c>
      <c r="B759" s="20">
        <f>Table_supermarket_sales___Sheet1[[#This Row],[Cost Price]]+Table57[[#This Row],[Markup Cost]]</f>
        <v>125.476</v>
      </c>
      <c r="C759">
        <v>9</v>
      </c>
      <c r="D759" s="21">
        <f>Table4[[#This Row],[Selling Price]]-Table_supermarket_sales___Sheet1[[#This Row],[Cost Price]]</f>
        <v>28.956000000000003</v>
      </c>
    </row>
    <row r="760" spans="1:4" x14ac:dyDescent="0.35">
      <c r="A760" t="s">
        <v>6</v>
      </c>
      <c r="B760" s="20">
        <f>Table_supermarket_sales___Sheet1[[#This Row],[Cost Price]]+Table57[[#This Row],[Markup Cost]]</f>
        <v>28.275000000000002</v>
      </c>
      <c r="C760">
        <v>3</v>
      </c>
      <c r="D760" s="21">
        <f>Table4[[#This Row],[Selling Price]]-Table_supermarket_sales___Sheet1[[#This Row],[Cost Price]]</f>
        <v>9.4250000000000007</v>
      </c>
    </row>
    <row r="761" spans="1:4" x14ac:dyDescent="0.35">
      <c r="A761" t="s">
        <v>3</v>
      </c>
      <c r="B761" s="20">
        <f>Table_supermarket_sales___Sheet1[[#This Row],[Cost Price]]+Table57[[#This Row],[Markup Cost]]</f>
        <v>66.468000000000004</v>
      </c>
      <c r="C761">
        <v>9</v>
      </c>
      <c r="D761" s="21">
        <f>Table4[[#This Row],[Selling Price]]-Table_supermarket_sales___Sheet1[[#This Row],[Cost Price]]</f>
        <v>11.078000000000003</v>
      </c>
    </row>
    <row r="762" spans="1:4" x14ac:dyDescent="0.35">
      <c r="A762" t="s">
        <v>5</v>
      </c>
      <c r="B762" s="20">
        <f>Table_supermarket_sales___Sheet1[[#This Row],[Cost Price]]+Table57[[#This Row],[Markup Cost]]</f>
        <v>115.80000000000001</v>
      </c>
      <c r="C762">
        <v>1</v>
      </c>
      <c r="D762" s="21">
        <f>Table4[[#This Row],[Selling Price]]-Table_supermarket_sales___Sheet1[[#This Row],[Cost Price]]</f>
        <v>38.600000000000009</v>
      </c>
    </row>
    <row r="763" spans="1:4" x14ac:dyDescent="0.35">
      <c r="A763" t="s">
        <v>5</v>
      </c>
      <c r="B763" s="20">
        <f>Table_supermarket_sales___Sheet1[[#This Row],[Cost Price]]+Table57[[#This Row],[Markup Cost]]</f>
        <v>108.19499999999999</v>
      </c>
      <c r="C763">
        <v>5</v>
      </c>
      <c r="D763" s="21">
        <f>Table4[[#This Row],[Selling Price]]-Table_supermarket_sales___Sheet1[[#This Row],[Cost Price]]</f>
        <v>36.064999999999998</v>
      </c>
    </row>
    <row r="764" spans="1:4" x14ac:dyDescent="0.35">
      <c r="A764" t="s">
        <v>1</v>
      </c>
      <c r="B764" s="20">
        <f>Table_supermarket_sales___Sheet1[[#This Row],[Cost Price]]+Table57[[#This Row],[Markup Cost]]</f>
        <v>89.432000000000002</v>
      </c>
      <c r="C764">
        <v>2</v>
      </c>
      <c r="D764" s="21">
        <f>Table4[[#This Row],[Selling Price]]-Table_supermarket_sales___Sheet1[[#This Row],[Cost Price]]</f>
        <v>25.552</v>
      </c>
    </row>
    <row r="765" spans="1:4" x14ac:dyDescent="0.35">
      <c r="A765" t="s">
        <v>6</v>
      </c>
      <c r="B765" s="20">
        <f>Table_supermarket_sales___Sheet1[[#This Row],[Cost Price]]+Table57[[#This Row],[Markup Cost]]</f>
        <v>13.362499999999999</v>
      </c>
      <c r="C765">
        <v>1</v>
      </c>
      <c r="D765" s="21">
        <f>Table4[[#This Row],[Selling Price]]-Table_supermarket_sales___Sheet1[[#This Row],[Cost Price]]</f>
        <v>2.6724999999999994</v>
      </c>
    </row>
    <row r="766" spans="1:4" x14ac:dyDescent="0.35">
      <c r="A766" t="s">
        <v>5</v>
      </c>
      <c r="B766" s="20">
        <f>Table_supermarket_sales___Sheet1[[#This Row],[Cost Price]]+Table57[[#This Row],[Markup Cost]]</f>
        <v>66.599999999999994</v>
      </c>
      <c r="C766">
        <v>5</v>
      </c>
      <c r="D766" s="21">
        <f>Table4[[#This Row],[Selling Price]]-Table_supermarket_sales___Sheet1[[#This Row],[Cost Price]]</f>
        <v>11.099999999999994</v>
      </c>
    </row>
    <row r="767" spans="1:4" x14ac:dyDescent="0.35">
      <c r="A767" t="s">
        <v>4</v>
      </c>
      <c r="B767" s="20">
        <f>Table_supermarket_sales___Sheet1[[#This Row],[Cost Price]]+Table57[[#This Row],[Markup Cost]]</f>
        <v>133.64400000000001</v>
      </c>
      <c r="C767">
        <v>7</v>
      </c>
      <c r="D767" s="21">
        <f>Table4[[#This Row],[Selling Price]]-Table_supermarket_sales___Sheet1[[#This Row],[Cost Price]]</f>
        <v>38.184000000000012</v>
      </c>
    </row>
    <row r="768" spans="1:4" x14ac:dyDescent="0.35">
      <c r="A768" t="s">
        <v>3</v>
      </c>
      <c r="B768" s="20">
        <f>Table_supermarket_sales___Sheet1[[#This Row],[Cost Price]]+Table57[[#This Row],[Markup Cost]]</f>
        <v>87.469000000000008</v>
      </c>
      <c r="C768">
        <v>4</v>
      </c>
      <c r="D768" s="21">
        <f>Table4[[#This Row],[Selling Price]]-Table_supermarket_sales___Sheet1[[#This Row],[Cost Price]]</f>
        <v>11.409000000000006</v>
      </c>
    </row>
    <row r="769" spans="1:4" x14ac:dyDescent="0.35">
      <c r="A769" t="s">
        <v>4</v>
      </c>
      <c r="B769" s="20">
        <f>Table_supermarket_sales___Sheet1[[#This Row],[Cost Price]]+Table57[[#This Row],[Markup Cost]]</f>
        <v>17.797000000000001</v>
      </c>
      <c r="C769">
        <v>6</v>
      </c>
      <c r="D769" s="21">
        <f>Table4[[#This Row],[Selling Price]]-Table_supermarket_sales___Sheet1[[#This Row],[Cost Price]]</f>
        <v>4.1070000000000011</v>
      </c>
    </row>
    <row r="770" spans="1:4" x14ac:dyDescent="0.35">
      <c r="A770" t="s">
        <v>5</v>
      </c>
      <c r="B770" s="20">
        <f>Table_supermarket_sales___Sheet1[[#This Row],[Cost Price]]+Table57[[#This Row],[Markup Cost]]</f>
        <v>114.768</v>
      </c>
      <c r="C770">
        <v>8</v>
      </c>
      <c r="D770" s="21">
        <f>Table4[[#This Row],[Selling Price]]-Table_supermarket_sales___Sheet1[[#This Row],[Cost Price]]</f>
        <v>19.128</v>
      </c>
    </row>
    <row r="771" spans="1:4" x14ac:dyDescent="0.35">
      <c r="A771" t="s">
        <v>3</v>
      </c>
      <c r="B771" s="20">
        <f>Table_supermarket_sales___Sheet1[[#This Row],[Cost Price]]+Table57[[#This Row],[Markup Cost]]</f>
        <v>14.859</v>
      </c>
      <c r="C771">
        <v>6</v>
      </c>
      <c r="D771" s="21">
        <f>Table4[[#This Row],[Selling Price]]-Table_supermarket_sales___Sheet1[[#This Row],[Cost Price]]</f>
        <v>3.4290000000000003</v>
      </c>
    </row>
    <row r="772" spans="1:4" x14ac:dyDescent="0.35">
      <c r="A772" t="s">
        <v>1</v>
      </c>
      <c r="B772" s="20">
        <f>Table_supermarket_sales___Sheet1[[#This Row],[Cost Price]]+Table57[[#This Row],[Markup Cost]]</f>
        <v>114.64800000000001</v>
      </c>
      <c r="C772">
        <v>10</v>
      </c>
      <c r="D772" s="21">
        <f>Table4[[#This Row],[Selling Price]]-Table_supermarket_sales___Sheet1[[#This Row],[Cost Price]]</f>
        <v>19.108000000000004</v>
      </c>
    </row>
    <row r="773" spans="1:4" x14ac:dyDescent="0.35">
      <c r="A773" t="s">
        <v>5</v>
      </c>
      <c r="B773" s="20">
        <f>Table_supermarket_sales___Sheet1[[#This Row],[Cost Price]]+Table57[[#This Row],[Markup Cost]]</f>
        <v>115.92450000000001</v>
      </c>
      <c r="C773">
        <v>4</v>
      </c>
      <c r="D773" s="21">
        <f>Table4[[#This Row],[Selling Price]]-Table_supermarket_sales___Sheet1[[#This Row],[Cost Price]]</f>
        <v>30.054500000000004</v>
      </c>
    </row>
    <row r="774" spans="1:4" x14ac:dyDescent="0.35">
      <c r="A774" t="s">
        <v>5</v>
      </c>
      <c r="B774" s="20">
        <f>Table_supermarket_sales___Sheet1[[#This Row],[Cost Price]]+Table57[[#This Row],[Markup Cost]]</f>
        <v>91.78649999999999</v>
      </c>
      <c r="C774">
        <v>7</v>
      </c>
      <c r="D774" s="21">
        <f>Table4[[#This Row],[Selling Price]]-Table_supermarket_sales___Sheet1[[#This Row],[Cost Price]]</f>
        <v>23.796499999999995</v>
      </c>
    </row>
    <row r="775" spans="1:4" x14ac:dyDescent="0.35">
      <c r="A775" t="s">
        <v>3</v>
      </c>
      <c r="B775" s="20">
        <f>Table_supermarket_sales___Sheet1[[#This Row],[Cost Price]]+Table57[[#This Row],[Markup Cost]]</f>
        <v>55.041000000000004</v>
      </c>
      <c r="C775">
        <v>8</v>
      </c>
      <c r="D775" s="21">
        <f>Table4[[#This Row],[Selling Price]]-Table_supermarket_sales___Sheet1[[#This Row],[Cost Price]]</f>
        <v>2.6210000000000022</v>
      </c>
    </row>
    <row r="776" spans="1:4" x14ac:dyDescent="0.35">
      <c r="A776" t="s">
        <v>5</v>
      </c>
      <c r="B776" s="20">
        <f>Table_supermarket_sales___Sheet1[[#This Row],[Cost Price]]+Table57[[#This Row],[Markup Cost]]</f>
        <v>72.215000000000003</v>
      </c>
      <c r="C776">
        <v>7</v>
      </c>
      <c r="D776" s="21">
        <f>Table4[[#This Row],[Selling Price]]-Table_supermarket_sales___Sheet1[[#This Row],[Cost Price]]</f>
        <v>6.5649999999999977</v>
      </c>
    </row>
    <row r="777" spans="1:4" x14ac:dyDescent="0.35">
      <c r="A777" t="s">
        <v>4</v>
      </c>
      <c r="B777" s="20">
        <f>Table_supermarket_sales___Sheet1[[#This Row],[Cost Price]]+Table57[[#This Row],[Markup Cost]]</f>
        <v>36.075000000000003</v>
      </c>
      <c r="C777">
        <v>10</v>
      </c>
      <c r="D777" s="21">
        <f>Table4[[#This Row],[Selling Price]]-Table_supermarket_sales___Sheet1[[#This Row],[Cost Price]]</f>
        <v>7.2150000000000034</v>
      </c>
    </row>
    <row r="778" spans="1:4" x14ac:dyDescent="0.35">
      <c r="A778" t="s">
        <v>2</v>
      </c>
      <c r="B778" s="20">
        <f>Table_supermarket_sales___Sheet1[[#This Row],[Cost Price]]+Table57[[#This Row],[Markup Cost]]</f>
        <v>88.168499999999995</v>
      </c>
      <c r="C778">
        <v>6</v>
      </c>
      <c r="D778" s="21">
        <f>Table4[[#This Row],[Selling Price]]-Table_supermarket_sales___Sheet1[[#This Row],[Cost Price]]</f>
        <v>22.858499999999992</v>
      </c>
    </row>
    <row r="779" spans="1:4" x14ac:dyDescent="0.35">
      <c r="A779" t="s">
        <v>2</v>
      </c>
      <c r="B779" s="20">
        <f>Table_supermarket_sales___Sheet1[[#This Row],[Cost Price]]+Table57[[#This Row],[Markup Cost]]</f>
        <v>98.048999999999992</v>
      </c>
      <c r="C779">
        <v>1</v>
      </c>
      <c r="D779" s="21">
        <f>Table4[[#This Row],[Selling Price]]-Table_supermarket_sales___Sheet1[[#This Row],[Cost Price]]</f>
        <v>4.6689999999999969</v>
      </c>
    </row>
    <row r="780" spans="1:4" x14ac:dyDescent="0.35">
      <c r="A780" t="s">
        <v>1</v>
      </c>
      <c r="B780" s="20">
        <f>Table_supermarket_sales___Sheet1[[#This Row],[Cost Price]]+Table57[[#This Row],[Markup Cost]]</f>
        <v>31.5625</v>
      </c>
      <c r="C780">
        <v>10</v>
      </c>
      <c r="D780" s="21">
        <f>Table4[[#This Row],[Selling Price]]-Table_supermarket_sales___Sheet1[[#This Row],[Cost Price]]</f>
        <v>6.3125</v>
      </c>
    </row>
    <row r="781" spans="1:4" x14ac:dyDescent="0.35">
      <c r="A781" t="s">
        <v>4</v>
      </c>
      <c r="B781" s="20">
        <f>Table_supermarket_sales___Sheet1[[#This Row],[Cost Price]]+Table57[[#This Row],[Markup Cost]]</f>
        <v>127.4115</v>
      </c>
      <c r="C781">
        <v>6</v>
      </c>
      <c r="D781" s="21">
        <f>Table4[[#This Row],[Selling Price]]-Table_supermarket_sales___Sheet1[[#This Row],[Cost Price]]</f>
        <v>39.541499999999999</v>
      </c>
    </row>
    <row r="782" spans="1:4" x14ac:dyDescent="0.35">
      <c r="A782" t="s">
        <v>2</v>
      </c>
      <c r="B782" s="20">
        <f>Table_supermarket_sales___Sheet1[[#This Row],[Cost Price]]+Table57[[#This Row],[Markup Cost]]</f>
        <v>30.520000000000003</v>
      </c>
      <c r="C782">
        <v>4</v>
      </c>
      <c r="D782" s="21">
        <f>Table4[[#This Row],[Selling Price]]-Table_supermarket_sales___Sheet1[[#This Row],[Cost Price]]</f>
        <v>8.7200000000000024</v>
      </c>
    </row>
    <row r="783" spans="1:4" x14ac:dyDescent="0.35">
      <c r="A783" t="s">
        <v>2</v>
      </c>
      <c r="B783" s="20">
        <f>Table_supermarket_sales___Sheet1[[#This Row],[Cost Price]]+Table57[[#This Row],[Markup Cost]]</f>
        <v>113.712</v>
      </c>
      <c r="C783">
        <v>8</v>
      </c>
      <c r="D783" s="21">
        <f>Table4[[#This Row],[Selling Price]]-Table_supermarket_sales___Sheet1[[#This Row],[Cost Price]]</f>
        <v>18.951999999999998</v>
      </c>
    </row>
    <row r="784" spans="1:4" x14ac:dyDescent="0.35">
      <c r="A784" t="s">
        <v>3</v>
      </c>
      <c r="B784" s="20">
        <f>Table_supermarket_sales___Sheet1[[#This Row],[Cost Price]]+Table57[[#This Row],[Markup Cost]]</f>
        <v>32.151000000000003</v>
      </c>
      <c r="C784">
        <v>4</v>
      </c>
      <c r="D784" s="21">
        <f>Table4[[#This Row],[Selling Price]]-Table_supermarket_sales___Sheet1[[#This Row],[Cost Price]]</f>
        <v>1.5310000000000024</v>
      </c>
    </row>
    <row r="785" spans="1:4" x14ac:dyDescent="0.35">
      <c r="A785" t="s">
        <v>4</v>
      </c>
      <c r="B785" s="20">
        <f>Table_supermarket_sales___Sheet1[[#This Row],[Cost Price]]+Table57[[#This Row],[Markup Cost]]</f>
        <v>61.613999999999997</v>
      </c>
      <c r="C785">
        <v>9</v>
      </c>
      <c r="D785" s="21">
        <f>Table4[[#This Row],[Selling Price]]-Table_supermarket_sales___Sheet1[[#This Row],[Cost Price]]</f>
        <v>17.603999999999999</v>
      </c>
    </row>
    <row r="786" spans="1:4" x14ac:dyDescent="0.35">
      <c r="A786" t="s">
        <v>6</v>
      </c>
      <c r="B786" s="20">
        <f>Table_supermarket_sales___Sheet1[[#This Row],[Cost Price]]+Table57[[#This Row],[Markup Cost]]</f>
        <v>12.7</v>
      </c>
      <c r="C786">
        <v>10</v>
      </c>
      <c r="D786" s="21">
        <f>Table4[[#This Row],[Selling Price]]-Table_supermarket_sales___Sheet1[[#This Row],[Cost Price]]</f>
        <v>2.5399999999999991</v>
      </c>
    </row>
    <row r="787" spans="1:4" x14ac:dyDescent="0.35">
      <c r="A787" t="s">
        <v>4</v>
      </c>
      <c r="B787" s="20">
        <f>Table_supermarket_sales___Sheet1[[#This Row],[Cost Price]]+Table57[[#This Row],[Markup Cost]]</f>
        <v>100.68299999999999</v>
      </c>
      <c r="C787">
        <v>7</v>
      </c>
      <c r="D787" s="21">
        <f>Table4[[#This Row],[Selling Price]]-Table_supermarket_sales___Sheet1[[#This Row],[Cost Price]]</f>
        <v>26.102999999999994</v>
      </c>
    </row>
    <row r="788" spans="1:4" x14ac:dyDescent="0.35">
      <c r="A788" t="s">
        <v>5</v>
      </c>
      <c r="B788" s="20">
        <f>Table_supermarket_sales___Sheet1[[#This Row],[Cost Price]]+Table57[[#This Row],[Markup Cost]]</f>
        <v>100.646</v>
      </c>
      <c r="C788">
        <v>4</v>
      </c>
      <c r="D788" s="21">
        <f>Table4[[#This Row],[Selling Price]]-Table_supermarket_sales___Sheet1[[#This Row],[Cost Price]]</f>
        <v>28.756</v>
      </c>
    </row>
    <row r="789" spans="1:4" x14ac:dyDescent="0.35">
      <c r="A789" t="s">
        <v>1</v>
      </c>
      <c r="B789" s="20">
        <f>Table_supermarket_sales___Sheet1[[#This Row],[Cost Price]]+Table57[[#This Row],[Markup Cost]]</f>
        <v>13.737500000000001</v>
      </c>
      <c r="C789">
        <v>10</v>
      </c>
      <c r="D789" s="21">
        <f>Table4[[#This Row],[Selling Price]]-Table_supermarket_sales___Sheet1[[#This Row],[Cost Price]]</f>
        <v>2.7475000000000005</v>
      </c>
    </row>
    <row r="790" spans="1:4" x14ac:dyDescent="0.35">
      <c r="A790" t="s">
        <v>5</v>
      </c>
      <c r="B790" s="20">
        <f>Table_supermarket_sales___Sheet1[[#This Row],[Cost Price]]+Table57[[#This Row],[Markup Cost]]</f>
        <v>69.540499999999994</v>
      </c>
      <c r="C790">
        <v>8</v>
      </c>
      <c r="D790" s="21">
        <f>Table4[[#This Row],[Selling Price]]-Table_supermarket_sales___Sheet1[[#This Row],[Cost Price]]</f>
        <v>9.0704999999999956</v>
      </c>
    </row>
    <row r="791" spans="1:4" x14ac:dyDescent="0.35">
      <c r="A791" t="s">
        <v>3</v>
      </c>
      <c r="B791" s="20">
        <f>Table_supermarket_sales___Sheet1[[#This Row],[Cost Price]]+Table57[[#This Row],[Markup Cost]]</f>
        <v>79.528499999999994</v>
      </c>
      <c r="C791">
        <v>2</v>
      </c>
      <c r="D791" s="21">
        <f>Table4[[#This Row],[Selling Price]]-Table_supermarket_sales___Sheet1[[#This Row],[Cost Price]]</f>
        <v>20.618499999999997</v>
      </c>
    </row>
    <row r="792" spans="1:4" x14ac:dyDescent="0.35">
      <c r="A792" t="s">
        <v>3</v>
      </c>
      <c r="B792" s="20">
        <f>Table_supermarket_sales___Sheet1[[#This Row],[Cost Price]]+Table57[[#This Row],[Markup Cost]]</f>
        <v>48.730499999999999</v>
      </c>
      <c r="C792">
        <v>2</v>
      </c>
      <c r="D792" s="21">
        <f>Table4[[#This Row],[Selling Price]]-Table_supermarket_sales___Sheet1[[#This Row],[Cost Price]]</f>
        <v>2.3205000000000027</v>
      </c>
    </row>
    <row r="793" spans="1:4" x14ac:dyDescent="0.35">
      <c r="A793" t="s">
        <v>6</v>
      </c>
      <c r="B793" s="20">
        <f>Table_supermarket_sales___Sheet1[[#This Row],[Cost Price]]+Table57[[#This Row],[Markup Cost]]</f>
        <v>82.259999999999991</v>
      </c>
      <c r="C793">
        <v>1</v>
      </c>
      <c r="D793" s="21">
        <f>Table4[[#This Row],[Selling Price]]-Table_supermarket_sales___Sheet1[[#This Row],[Cost Price]]</f>
        <v>13.709999999999994</v>
      </c>
    </row>
    <row r="794" spans="1:4" x14ac:dyDescent="0.35">
      <c r="A794" t="s">
        <v>1</v>
      </c>
      <c r="B794" s="20">
        <f>Table_supermarket_sales___Sheet1[[#This Row],[Cost Price]]+Table57[[#This Row],[Markup Cost]]</f>
        <v>146.05500000000001</v>
      </c>
      <c r="C794">
        <v>7</v>
      </c>
      <c r="D794" s="21">
        <f>Table4[[#This Row],[Selling Price]]-Table_supermarket_sales___Sheet1[[#This Row],[Cost Price]]</f>
        <v>48.685000000000002</v>
      </c>
    </row>
    <row r="795" spans="1:4" x14ac:dyDescent="0.35">
      <c r="A795" t="s">
        <v>1</v>
      </c>
      <c r="B795" s="20">
        <f>Table_supermarket_sales___Sheet1[[#This Row],[Cost Price]]+Table57[[#This Row],[Markup Cost]]</f>
        <v>125.00999999999999</v>
      </c>
      <c r="C795">
        <v>8</v>
      </c>
      <c r="D795" s="21">
        <f>Table4[[#This Row],[Selling Price]]-Table_supermarket_sales___Sheet1[[#This Row],[Cost Price]]</f>
        <v>32.409999999999997</v>
      </c>
    </row>
    <row r="796" spans="1:4" x14ac:dyDescent="0.35">
      <c r="A796" t="s">
        <v>1</v>
      </c>
      <c r="B796" s="20">
        <f>Table_supermarket_sales___Sheet1[[#This Row],[Cost Price]]+Table57[[#This Row],[Markup Cost]]</f>
        <v>51.271000000000001</v>
      </c>
      <c r="C796">
        <v>8</v>
      </c>
      <c r="D796" s="21">
        <f>Table4[[#This Row],[Selling Price]]-Table_supermarket_sales___Sheet1[[#This Row],[Cost Price]]</f>
        <v>4.6610000000000014</v>
      </c>
    </row>
    <row r="797" spans="1:4" x14ac:dyDescent="0.35">
      <c r="A797" t="s">
        <v>2</v>
      </c>
      <c r="B797" s="20">
        <f>Table_supermarket_sales___Sheet1[[#This Row],[Cost Price]]+Table57[[#This Row],[Markup Cost]]</f>
        <v>29.898</v>
      </c>
      <c r="C797">
        <v>3</v>
      </c>
      <c r="D797" s="21">
        <f>Table4[[#This Row],[Selling Price]]-Table_supermarket_sales___Sheet1[[#This Row],[Cost Price]]</f>
        <v>2.718</v>
      </c>
    </row>
    <row r="798" spans="1:4" x14ac:dyDescent="0.35">
      <c r="A798" t="s">
        <v>5</v>
      </c>
      <c r="B798" s="20">
        <f>Table_supermarket_sales___Sheet1[[#This Row],[Cost Price]]+Table57[[#This Row],[Markup Cost]]</f>
        <v>63.913499999999999</v>
      </c>
      <c r="C798">
        <v>6</v>
      </c>
      <c r="D798" s="21">
        <f>Table4[[#This Row],[Selling Price]]-Table_supermarket_sales___Sheet1[[#This Row],[Cost Price]]</f>
        <v>3.0435000000000016</v>
      </c>
    </row>
    <row r="799" spans="1:4" x14ac:dyDescent="0.35">
      <c r="A799" t="s">
        <v>2</v>
      </c>
      <c r="B799" s="20">
        <f>Table_supermarket_sales___Sheet1[[#This Row],[Cost Price]]+Table57[[#This Row],[Markup Cost]]</f>
        <v>36.734999999999999</v>
      </c>
      <c r="C799">
        <v>6</v>
      </c>
      <c r="D799" s="21">
        <f>Table4[[#This Row],[Selling Price]]-Table_supermarket_sales___Sheet1[[#This Row],[Cost Price]]</f>
        <v>12.245000000000001</v>
      </c>
    </row>
    <row r="800" spans="1:4" x14ac:dyDescent="0.35">
      <c r="A800" t="s">
        <v>2</v>
      </c>
      <c r="B800" s="20">
        <f>Table_supermarket_sales___Sheet1[[#This Row],[Cost Price]]+Table57[[#This Row],[Markup Cost]]</f>
        <v>97.418999999999997</v>
      </c>
      <c r="C800">
        <v>8</v>
      </c>
      <c r="D800" s="21">
        <f>Table4[[#This Row],[Selling Price]]-Table_supermarket_sales___Sheet1[[#This Row],[Cost Price]]</f>
        <v>4.6389999999999958</v>
      </c>
    </row>
    <row r="801" spans="1:4" x14ac:dyDescent="0.35">
      <c r="A801" t="s">
        <v>2</v>
      </c>
      <c r="B801" s="20">
        <f>Table_supermarket_sales___Sheet1[[#This Row],[Cost Price]]+Table57[[#This Row],[Markup Cost]]</f>
        <v>108.3625</v>
      </c>
      <c r="C801">
        <v>9</v>
      </c>
      <c r="D801" s="21">
        <f>Table4[[#This Row],[Selling Price]]-Table_supermarket_sales___Sheet1[[#This Row],[Cost Price]]</f>
        <v>21.672499999999999</v>
      </c>
    </row>
    <row r="802" spans="1:4" x14ac:dyDescent="0.35">
      <c r="A802" t="s">
        <v>4</v>
      </c>
      <c r="B802" s="20">
        <f>Table_supermarket_sales___Sheet1[[#This Row],[Cost Price]]+Table57[[#This Row],[Markup Cost]]</f>
        <v>29.913</v>
      </c>
      <c r="C802">
        <v>8</v>
      </c>
      <c r="D802" s="21">
        <f>Table4[[#This Row],[Selling Price]]-Table_supermarket_sales___Sheet1[[#This Row],[Cost Price]]</f>
        <v>6.9029999999999987</v>
      </c>
    </row>
    <row r="803" spans="1:4" x14ac:dyDescent="0.35">
      <c r="A803" t="s">
        <v>2</v>
      </c>
      <c r="B803" s="20">
        <f>Table_supermarket_sales___Sheet1[[#This Row],[Cost Price]]+Table57[[#This Row],[Markup Cost]]</f>
        <v>42.28</v>
      </c>
      <c r="C803">
        <v>6</v>
      </c>
      <c r="D803" s="21">
        <f>Table4[[#This Row],[Selling Price]]-Table_supermarket_sales___Sheet1[[#This Row],[Cost Price]]</f>
        <v>12.080000000000002</v>
      </c>
    </row>
    <row r="804" spans="1:4" x14ac:dyDescent="0.35">
      <c r="A804" t="s">
        <v>5</v>
      </c>
      <c r="B804" s="20">
        <f>Table_supermarket_sales___Sheet1[[#This Row],[Cost Price]]+Table57[[#This Row],[Markup Cost]]</f>
        <v>90.976500000000001</v>
      </c>
      <c r="C804">
        <v>10</v>
      </c>
      <c r="D804" s="21">
        <f>Table4[[#This Row],[Selling Price]]-Table_supermarket_sales___Sheet1[[#This Row],[Cost Price]]</f>
        <v>23.586500000000001</v>
      </c>
    </row>
    <row r="805" spans="1:4" x14ac:dyDescent="0.35">
      <c r="A805" t="s">
        <v>5</v>
      </c>
      <c r="B805" s="20">
        <f>Table_supermarket_sales___Sheet1[[#This Row],[Cost Price]]+Table57[[#This Row],[Markup Cost]]</f>
        <v>70.992000000000004</v>
      </c>
      <c r="C805">
        <v>3</v>
      </c>
      <c r="D805" s="21">
        <f>Table4[[#This Row],[Selling Price]]-Table_supermarket_sales___Sheet1[[#This Row],[Cost Price]]</f>
        <v>22.032000000000004</v>
      </c>
    </row>
    <row r="806" spans="1:4" x14ac:dyDescent="0.35">
      <c r="A806" t="s">
        <v>3</v>
      </c>
      <c r="B806" s="20">
        <f>Table_supermarket_sales___Sheet1[[#This Row],[Cost Price]]+Table57[[#This Row],[Markup Cost]]</f>
        <v>109.60550000000001</v>
      </c>
      <c r="C806">
        <v>9</v>
      </c>
      <c r="D806" s="21">
        <f>Table4[[#This Row],[Selling Price]]-Table_supermarket_sales___Sheet1[[#This Row],[Cost Price]]</f>
        <v>34.015500000000003</v>
      </c>
    </row>
    <row r="807" spans="1:4" x14ac:dyDescent="0.35">
      <c r="A807" t="s">
        <v>2</v>
      </c>
      <c r="B807" s="20">
        <f>Table_supermarket_sales___Sheet1[[#This Row],[Cost Price]]+Table57[[#This Row],[Markup Cost]]</f>
        <v>92.963999999999999</v>
      </c>
      <c r="C807">
        <v>2</v>
      </c>
      <c r="D807" s="21">
        <f>Table4[[#This Row],[Selling Price]]-Table_supermarket_sales___Sheet1[[#This Row],[Cost Price]]</f>
        <v>15.494</v>
      </c>
    </row>
    <row r="808" spans="1:4" x14ac:dyDescent="0.35">
      <c r="A808" t="s">
        <v>3</v>
      </c>
      <c r="B808" s="20">
        <f>Table_supermarket_sales___Sheet1[[#This Row],[Cost Price]]+Table57[[#This Row],[Markup Cost]]</f>
        <v>102.498</v>
      </c>
      <c r="C808">
        <v>1</v>
      </c>
      <c r="D808" s="21">
        <f>Table4[[#This Row],[Selling Price]]-Table_supermarket_sales___Sheet1[[#This Row],[Cost Price]]</f>
        <v>9.3179999999999978</v>
      </c>
    </row>
    <row r="809" spans="1:4" x14ac:dyDescent="0.35">
      <c r="A809" t="s">
        <v>3</v>
      </c>
      <c r="B809" s="22">
        <f>Table_supermarket_sales___Sheet1[[#This Row],[Cost Price]]+Table57[[#This Row],[Markup Cost]]</f>
        <v>60.275999999999996</v>
      </c>
      <c r="C809">
        <v>7</v>
      </c>
      <c r="D809" s="21">
        <f>Table4[[#This Row],[Selling Price]]-Table_supermarket_sales___Sheet1[[#This Row],[Cost Price]]</f>
        <v>10.045999999999999</v>
      </c>
    </row>
    <row r="810" spans="1:4" x14ac:dyDescent="0.35">
      <c r="A810" t="s">
        <v>6</v>
      </c>
      <c r="B810" s="20">
        <f>Table_supermarket_sales___Sheet1[[#This Row],[Cost Price]]+Table57[[#This Row],[Markup Cost]]</f>
        <v>18.637499999999999</v>
      </c>
      <c r="C810">
        <v>3</v>
      </c>
      <c r="D810" s="21">
        <f>Table4[[#This Row],[Selling Price]]-Table_supermarket_sales___Sheet1[[#This Row],[Cost Price]]</f>
        <v>0.88749999999999929</v>
      </c>
    </row>
    <row r="811" spans="1:4" x14ac:dyDescent="0.35">
      <c r="A811" t="s">
        <v>4</v>
      </c>
      <c r="B811" s="20">
        <f>Table_supermarket_sales___Sheet1[[#This Row],[Cost Price]]+Table57[[#This Row],[Markup Cost]]</f>
        <v>93.27</v>
      </c>
      <c r="C811">
        <v>1</v>
      </c>
      <c r="D811" s="21">
        <f>Table4[[#This Row],[Selling Price]]-Table_supermarket_sales___Sheet1[[#This Row],[Cost Price]]</f>
        <v>31.089999999999996</v>
      </c>
    </row>
    <row r="812" spans="1:4" x14ac:dyDescent="0.35">
      <c r="A812" t="s">
        <v>2</v>
      </c>
      <c r="B812" s="20">
        <f>Table_supermarket_sales___Sheet1[[#This Row],[Cost Price]]+Table57[[#This Row],[Markup Cost]]</f>
        <v>15.05</v>
      </c>
      <c r="C812">
        <v>4</v>
      </c>
      <c r="D812" s="21">
        <f>Table4[[#This Row],[Selling Price]]-Table_supermarket_sales___Sheet1[[#This Row],[Cost Price]]</f>
        <v>4.3000000000000007</v>
      </c>
    </row>
    <row r="813" spans="1:4" x14ac:dyDescent="0.35">
      <c r="A813" t="s">
        <v>6</v>
      </c>
      <c r="B813" s="20">
        <f>Table_supermarket_sales___Sheet1[[#This Row],[Cost Price]]+Table57[[#This Row],[Markup Cost]]</f>
        <v>60.39</v>
      </c>
      <c r="C813">
        <v>2</v>
      </c>
      <c r="D813" s="21">
        <f>Table4[[#This Row],[Selling Price]]-Table_supermarket_sales___Sheet1[[#This Row],[Cost Price]]</f>
        <v>20.130000000000003</v>
      </c>
    </row>
    <row r="814" spans="1:4" x14ac:dyDescent="0.35">
      <c r="A814" t="s">
        <v>3</v>
      </c>
      <c r="B814" s="20">
        <f>Table_supermarket_sales___Sheet1[[#This Row],[Cost Price]]+Table57[[#This Row],[Markup Cost]]</f>
        <v>81.212500000000006</v>
      </c>
      <c r="C814">
        <v>3</v>
      </c>
      <c r="D814" s="21">
        <f>Table4[[#This Row],[Selling Price]]-Table_supermarket_sales___Sheet1[[#This Row],[Cost Price]]</f>
        <v>16.242500000000007</v>
      </c>
    </row>
    <row r="815" spans="1:4" x14ac:dyDescent="0.35">
      <c r="A815" t="s">
        <v>3</v>
      </c>
      <c r="B815" s="20">
        <f>Table_supermarket_sales___Sheet1[[#This Row],[Cost Price]]+Table57[[#This Row],[Markup Cost]]</f>
        <v>99.907499999999999</v>
      </c>
      <c r="C815">
        <v>2</v>
      </c>
      <c r="D815" s="21">
        <f>Table4[[#This Row],[Selling Price]]-Table_supermarket_sales___Sheet1[[#This Row],[Cost Price]]</f>
        <v>4.7574999999999932</v>
      </c>
    </row>
    <row r="816" spans="1:4" x14ac:dyDescent="0.35">
      <c r="A816" t="s">
        <v>6</v>
      </c>
      <c r="B816" s="20">
        <f>Table_supermarket_sales___Sheet1[[#This Row],[Cost Price]]+Table57[[#This Row],[Markup Cost]]</f>
        <v>68.067999999999998</v>
      </c>
      <c r="C816">
        <v>1</v>
      </c>
      <c r="D816" s="21">
        <f>Table4[[#This Row],[Selling Price]]-Table_supermarket_sales___Sheet1[[#This Row],[Cost Price]]</f>
        <v>19.448</v>
      </c>
    </row>
    <row r="817" spans="1:4" x14ac:dyDescent="0.35">
      <c r="A817" t="s">
        <v>4</v>
      </c>
      <c r="B817" s="20">
        <f>Table_supermarket_sales___Sheet1[[#This Row],[Cost Price]]+Table57[[#This Row],[Markup Cost]]</f>
        <v>74.494</v>
      </c>
      <c r="C817">
        <v>10</v>
      </c>
      <c r="D817" s="21">
        <f>Table4[[#This Row],[Selling Price]]-Table_supermarket_sales___Sheet1[[#This Row],[Cost Price]]</f>
        <v>21.283999999999999</v>
      </c>
    </row>
    <row r="818" spans="1:4" x14ac:dyDescent="0.35">
      <c r="A818" t="s">
        <v>4</v>
      </c>
      <c r="B818" s="20">
        <f>Table_supermarket_sales___Sheet1[[#This Row],[Cost Price]]+Table57[[#This Row],[Markup Cost]]</f>
        <v>61.343999999999994</v>
      </c>
      <c r="C818">
        <v>4</v>
      </c>
      <c r="D818" s="21">
        <f>Table4[[#This Row],[Selling Price]]-Table_supermarket_sales___Sheet1[[#This Row],[Cost Price]]</f>
        <v>15.903999999999996</v>
      </c>
    </row>
    <row r="819" spans="1:4" x14ac:dyDescent="0.35">
      <c r="A819" t="s">
        <v>1</v>
      </c>
      <c r="B819" s="20">
        <f>Table_supermarket_sales___Sheet1[[#This Row],[Cost Price]]+Table57[[#This Row],[Markup Cost]]</f>
        <v>47.432000000000002</v>
      </c>
      <c r="C819">
        <v>9</v>
      </c>
      <c r="D819" s="21">
        <f>Table4[[#This Row],[Selling Price]]-Table_supermarket_sales___Sheet1[[#This Row],[Cost Price]]</f>
        <v>13.552</v>
      </c>
    </row>
    <row r="820" spans="1:4" x14ac:dyDescent="0.35">
      <c r="A820" t="s">
        <v>2</v>
      </c>
      <c r="B820" s="20">
        <f>Table_supermarket_sales___Sheet1[[#This Row],[Cost Price]]+Table57[[#This Row],[Markup Cost]]</f>
        <v>115.392</v>
      </c>
      <c r="C820">
        <v>4</v>
      </c>
      <c r="D820" s="21">
        <f>Table4[[#This Row],[Selling Price]]-Table_supermarket_sales___Sheet1[[#This Row],[Cost Price]]</f>
        <v>19.231999999999999</v>
      </c>
    </row>
    <row r="821" spans="1:4" x14ac:dyDescent="0.35">
      <c r="A821" t="s">
        <v>2</v>
      </c>
      <c r="B821" s="20">
        <f>Table_supermarket_sales___Sheet1[[#This Row],[Cost Price]]+Table57[[#This Row],[Markup Cost]]</f>
        <v>58.949999999999996</v>
      </c>
      <c r="C821">
        <v>8</v>
      </c>
      <c r="D821" s="21">
        <f>Table4[[#This Row],[Selling Price]]-Table_supermarket_sales___Sheet1[[#This Row],[Cost Price]]</f>
        <v>11.79</v>
      </c>
    </row>
    <row r="822" spans="1:4" x14ac:dyDescent="0.35">
      <c r="A822" t="s">
        <v>3</v>
      </c>
      <c r="B822" s="20">
        <f>Table_supermarket_sales___Sheet1[[#This Row],[Cost Price]]+Table57[[#This Row],[Markup Cost]]</f>
        <v>63.468000000000004</v>
      </c>
      <c r="C822">
        <v>9</v>
      </c>
      <c r="D822" s="21">
        <f>Table4[[#This Row],[Selling Price]]-Table_supermarket_sales___Sheet1[[#This Row],[Cost Price]]</f>
        <v>10.578000000000003</v>
      </c>
    </row>
    <row r="823" spans="1:4" x14ac:dyDescent="0.35">
      <c r="A823" t="s">
        <v>5</v>
      </c>
      <c r="B823" s="20">
        <f>Table_supermarket_sales___Sheet1[[#This Row],[Cost Price]]+Table57[[#This Row],[Markup Cost]]</f>
        <v>52.448</v>
      </c>
      <c r="C823">
        <v>3</v>
      </c>
      <c r="D823" s="21">
        <f>Table4[[#This Row],[Selling Price]]-Table_supermarket_sales___Sheet1[[#This Row],[Cost Price]]</f>
        <v>4.7680000000000007</v>
      </c>
    </row>
    <row r="824" spans="1:4" x14ac:dyDescent="0.35">
      <c r="A824" t="s">
        <v>3</v>
      </c>
      <c r="B824" s="20">
        <f>Table_supermarket_sales___Sheet1[[#This Row],[Cost Price]]+Table57[[#This Row],[Markup Cost]]</f>
        <v>10.6785</v>
      </c>
      <c r="C824">
        <v>10</v>
      </c>
      <c r="D824" s="21">
        <f>Table4[[#This Row],[Selling Price]]-Table_supermarket_sales___Sheet1[[#This Row],[Cost Price]]</f>
        <v>0.50849999999999973</v>
      </c>
    </row>
    <row r="825" spans="1:4" x14ac:dyDescent="0.35">
      <c r="A825" t="s">
        <v>5</v>
      </c>
      <c r="B825" s="20">
        <f>Table_supermarket_sales___Sheet1[[#This Row],[Cost Price]]+Table57[[#This Row],[Markup Cost]]</f>
        <v>79.016499999999994</v>
      </c>
      <c r="C825">
        <v>4</v>
      </c>
      <c r="D825" s="21">
        <f>Table4[[#This Row],[Selling Price]]-Table_supermarket_sales___Sheet1[[#This Row],[Cost Price]]</f>
        <v>10.3065</v>
      </c>
    </row>
    <row r="826" spans="1:4" x14ac:dyDescent="0.35">
      <c r="A826" t="s">
        <v>1</v>
      </c>
      <c r="B826" s="20">
        <f>Table_supermarket_sales___Sheet1[[#This Row],[Cost Price]]+Table57[[#This Row],[Markup Cost]]</f>
        <v>81.108000000000004</v>
      </c>
      <c r="C826">
        <v>2</v>
      </c>
      <c r="D826" s="21">
        <f>Table4[[#This Row],[Selling Price]]-Table_supermarket_sales___Sheet1[[#This Row],[Cost Price]]</f>
        <v>21.028000000000006</v>
      </c>
    </row>
    <row r="827" spans="1:4" x14ac:dyDescent="0.35">
      <c r="A827" t="s">
        <v>5</v>
      </c>
      <c r="B827" s="20">
        <f>Table_supermarket_sales___Sheet1[[#This Row],[Cost Price]]+Table57[[#This Row],[Markup Cost]]</f>
        <v>26.412000000000003</v>
      </c>
      <c r="C827">
        <v>8</v>
      </c>
      <c r="D827" s="21">
        <f>Table4[[#This Row],[Selling Price]]-Table_supermarket_sales___Sheet1[[#This Row],[Cost Price]]</f>
        <v>4.402000000000001</v>
      </c>
    </row>
    <row r="828" spans="1:4" x14ac:dyDescent="0.35">
      <c r="A828" t="s">
        <v>1</v>
      </c>
      <c r="B828" s="20">
        <f>Table_supermarket_sales___Sheet1[[#This Row],[Cost Price]]+Table57[[#This Row],[Markup Cost]]</f>
        <v>104.5595</v>
      </c>
      <c r="C828">
        <v>9</v>
      </c>
      <c r="D828" s="21">
        <f>Table4[[#This Row],[Selling Price]]-Table_supermarket_sales___Sheet1[[#This Row],[Cost Price]]</f>
        <v>32.4495</v>
      </c>
    </row>
    <row r="829" spans="1:4" x14ac:dyDescent="0.35">
      <c r="A829" t="s">
        <v>4</v>
      </c>
      <c r="B829" s="20">
        <f>Table_supermarket_sales___Sheet1[[#This Row],[Cost Price]]+Table57[[#This Row],[Markup Cost]]</f>
        <v>47.472000000000001</v>
      </c>
      <c r="C829">
        <v>9</v>
      </c>
      <c r="D829" s="21">
        <f>Table4[[#This Row],[Selling Price]]-Table_supermarket_sales___Sheet1[[#This Row],[Cost Price]]</f>
        <v>6.1920000000000002</v>
      </c>
    </row>
    <row r="830" spans="1:4" x14ac:dyDescent="0.35">
      <c r="A830" t="s">
        <v>4</v>
      </c>
      <c r="B830" s="20">
        <f>Table_supermarket_sales___Sheet1[[#This Row],[Cost Price]]+Table57[[#This Row],[Markup Cost]]</f>
        <v>97.425000000000011</v>
      </c>
      <c r="C830">
        <v>7</v>
      </c>
      <c r="D830" s="21">
        <f>Table4[[#This Row],[Selling Price]]-Table_supermarket_sales___Sheet1[[#This Row],[Cost Price]]</f>
        <v>32.475000000000009</v>
      </c>
    </row>
    <row r="831" spans="1:4" x14ac:dyDescent="0.35">
      <c r="A831" t="s">
        <v>1</v>
      </c>
      <c r="B831" s="20">
        <f>Table_supermarket_sales___Sheet1[[#This Row],[Cost Price]]+Table57[[#This Row],[Markup Cost]]</f>
        <v>111.33</v>
      </c>
      <c r="C831">
        <v>5</v>
      </c>
      <c r="D831" s="21">
        <f>Table4[[#This Row],[Selling Price]]-Table_supermarket_sales___Sheet1[[#This Row],[Cost Price]]</f>
        <v>37.11</v>
      </c>
    </row>
    <row r="832" spans="1:4" x14ac:dyDescent="0.35">
      <c r="A832" t="s">
        <v>2</v>
      </c>
      <c r="B832" s="20">
        <f>Table_supermarket_sales___Sheet1[[#This Row],[Cost Price]]+Table57[[#This Row],[Markup Cost]]</f>
        <v>14.784000000000001</v>
      </c>
      <c r="C832">
        <v>9</v>
      </c>
      <c r="D832" s="21">
        <f>Table4[[#This Row],[Selling Price]]-Table_supermarket_sales___Sheet1[[#This Row],[Cost Price]]</f>
        <v>4.2240000000000002</v>
      </c>
    </row>
    <row r="833" spans="1:4" x14ac:dyDescent="0.35">
      <c r="A833" t="s">
        <v>3</v>
      </c>
      <c r="B833" s="20">
        <f>Table_supermarket_sales___Sheet1[[#This Row],[Cost Price]]+Table57[[#This Row],[Markup Cost]]</f>
        <v>75.084000000000003</v>
      </c>
      <c r="C833">
        <v>6</v>
      </c>
      <c r="D833" s="21">
        <f>Table4[[#This Row],[Selling Price]]-Table_supermarket_sales___Sheet1[[#This Row],[Cost Price]]</f>
        <v>12.514000000000003</v>
      </c>
    </row>
    <row r="834" spans="1:4" x14ac:dyDescent="0.35">
      <c r="A834" t="s">
        <v>6</v>
      </c>
      <c r="B834" s="20">
        <f>Table_supermarket_sales___Sheet1[[#This Row],[Cost Price]]+Table57[[#This Row],[Markup Cost]]</f>
        <v>16.59</v>
      </c>
      <c r="C834">
        <v>1</v>
      </c>
      <c r="D834" s="21">
        <f>Table4[[#This Row],[Selling Price]]-Table_supermarket_sales___Sheet1[[#This Row],[Cost Price]]</f>
        <v>4.74</v>
      </c>
    </row>
    <row r="835" spans="1:4" x14ac:dyDescent="0.35">
      <c r="A835" t="s">
        <v>4</v>
      </c>
      <c r="B835" s="20">
        <f>Table_supermarket_sales___Sheet1[[#This Row],[Cost Price]]+Table57[[#This Row],[Markup Cost]]</f>
        <v>95.864999999999995</v>
      </c>
      <c r="C835">
        <v>9</v>
      </c>
      <c r="D835" s="21">
        <f>Table4[[#This Row],[Selling Price]]-Table_supermarket_sales___Sheet1[[#This Row],[Cost Price]]</f>
        <v>4.5649999999999977</v>
      </c>
    </row>
    <row r="836" spans="1:4" x14ac:dyDescent="0.35">
      <c r="A836" t="s">
        <v>3</v>
      </c>
      <c r="B836" s="20">
        <f>Table_supermarket_sales___Sheet1[[#This Row],[Cost Price]]+Table57[[#This Row],[Markup Cost]]</f>
        <v>54.985499999999995</v>
      </c>
      <c r="C836">
        <v>4</v>
      </c>
      <c r="D836" s="21">
        <f>Table4[[#This Row],[Selling Price]]-Table_supermarket_sales___Sheet1[[#This Row],[Cost Price]]</f>
        <v>14.255499999999998</v>
      </c>
    </row>
    <row r="837" spans="1:4" x14ac:dyDescent="0.35">
      <c r="A837" t="s">
        <v>1</v>
      </c>
      <c r="B837" s="20">
        <f>Table_supermarket_sales___Sheet1[[#This Row],[Cost Price]]+Table57[[#This Row],[Markup Cost]]</f>
        <v>54.999000000000002</v>
      </c>
      <c r="C837">
        <v>5</v>
      </c>
      <c r="D837" s="21">
        <f>Table4[[#This Row],[Selling Price]]-Table_supermarket_sales___Sheet1[[#This Row],[Cost Price]]</f>
        <v>2.6189999999999998</v>
      </c>
    </row>
    <row r="838" spans="1:4" x14ac:dyDescent="0.35">
      <c r="A838" t="s">
        <v>4</v>
      </c>
      <c r="B838" s="20">
        <f>Table_supermarket_sales___Sheet1[[#This Row],[Cost Price]]+Table57[[#This Row],[Markup Cost]]</f>
        <v>48.174999999999997</v>
      </c>
      <c r="C838">
        <v>2</v>
      </c>
      <c r="D838" s="21">
        <f>Table4[[#This Row],[Selling Price]]-Table_supermarket_sales___Sheet1[[#This Row],[Cost Price]]</f>
        <v>9.634999999999998</v>
      </c>
    </row>
    <row r="839" spans="1:4" x14ac:dyDescent="0.35">
      <c r="A839" t="s">
        <v>3</v>
      </c>
      <c r="B839" s="20">
        <f>Table_supermarket_sales___Sheet1[[#This Row],[Cost Price]]+Table57[[#This Row],[Markup Cost]]</f>
        <v>58.019000000000005</v>
      </c>
      <c r="C839">
        <v>4</v>
      </c>
      <c r="D839" s="21">
        <f>Table4[[#This Row],[Selling Price]]-Table_supermarket_sales___Sheet1[[#This Row],[Cost Price]]</f>
        <v>13.389000000000003</v>
      </c>
    </row>
    <row r="840" spans="1:4" x14ac:dyDescent="0.35">
      <c r="A840" t="s">
        <v>4</v>
      </c>
      <c r="B840" s="20">
        <f>Table_supermarket_sales___Sheet1[[#This Row],[Cost Price]]+Table57[[#This Row],[Markup Cost]]</f>
        <v>83.804999999999993</v>
      </c>
      <c r="C840">
        <v>4</v>
      </c>
      <c r="D840" s="21">
        <f>Table4[[#This Row],[Selling Price]]-Table_supermarket_sales___Sheet1[[#This Row],[Cost Price]]</f>
        <v>27.934999999999995</v>
      </c>
    </row>
    <row r="841" spans="1:4" x14ac:dyDescent="0.35">
      <c r="A841" t="s">
        <v>2</v>
      </c>
      <c r="B841" s="20">
        <f>Table_supermarket_sales___Sheet1[[#This Row],[Cost Price]]+Table57[[#This Row],[Markup Cost]]</f>
        <v>37.985999999999997</v>
      </c>
      <c r="C841">
        <v>8</v>
      </c>
      <c r="D841" s="21">
        <f>Table4[[#This Row],[Selling Price]]-Table_supermarket_sales___Sheet1[[#This Row],[Cost Price]]</f>
        <v>8.7659999999999982</v>
      </c>
    </row>
    <row r="842" spans="1:4" x14ac:dyDescent="0.35">
      <c r="A842" t="s">
        <v>6</v>
      </c>
      <c r="B842" s="20">
        <f>Table_supermarket_sales___Sheet1[[#This Row],[Cost Price]]+Table57[[#This Row],[Markup Cost]]</f>
        <v>59.730999999999995</v>
      </c>
      <c r="C842">
        <v>2</v>
      </c>
      <c r="D842" s="21">
        <f>Table4[[#This Row],[Selling Price]]-Table_supermarket_sales___Sheet1[[#This Row],[Cost Price]]</f>
        <v>7.7909999999999968</v>
      </c>
    </row>
    <row r="843" spans="1:4" x14ac:dyDescent="0.35">
      <c r="A843" t="s">
        <v>6</v>
      </c>
      <c r="B843" s="20">
        <f>Table_supermarket_sales___Sheet1[[#This Row],[Cost Price]]+Table57[[#This Row],[Markup Cost]]</f>
        <v>63.314999999999998</v>
      </c>
      <c r="C843">
        <v>8</v>
      </c>
      <c r="D843" s="21">
        <f>Table4[[#This Row],[Selling Price]]-Table_supermarket_sales___Sheet1[[#This Row],[Cost Price]]</f>
        <v>3.0150000000000006</v>
      </c>
    </row>
    <row r="844" spans="1:4" x14ac:dyDescent="0.35">
      <c r="A844" t="s">
        <v>6</v>
      </c>
      <c r="B844" s="20">
        <f>Table_supermarket_sales___Sheet1[[#This Row],[Cost Price]]+Table57[[#This Row],[Markup Cost]]</f>
        <v>43.417000000000002</v>
      </c>
      <c r="C844">
        <v>2</v>
      </c>
      <c r="D844" s="21">
        <f>Table4[[#This Row],[Selling Price]]-Table_supermarket_sales___Sheet1[[#This Row],[Cost Price]]</f>
        <v>3.9470000000000027</v>
      </c>
    </row>
    <row r="845" spans="1:4" x14ac:dyDescent="0.35">
      <c r="A845" t="s">
        <v>3</v>
      </c>
      <c r="B845" s="20">
        <f>Table_supermarket_sales___Sheet1[[#This Row],[Cost Price]]+Table57[[#This Row],[Markup Cost]]</f>
        <v>16.356999999999999</v>
      </c>
      <c r="C845">
        <v>3</v>
      </c>
      <c r="D845" s="21">
        <f>Table4[[#This Row],[Selling Price]]-Table_supermarket_sales___Sheet1[[#This Row],[Cost Price]]</f>
        <v>1.4870000000000001</v>
      </c>
    </row>
    <row r="846" spans="1:4" x14ac:dyDescent="0.35">
      <c r="A846" t="s">
        <v>5</v>
      </c>
      <c r="B846" s="20">
        <f>Table_supermarket_sales___Sheet1[[#This Row],[Cost Price]]+Table57[[#This Row],[Markup Cost]]</f>
        <v>22.385999999999999</v>
      </c>
      <c r="C846">
        <v>10</v>
      </c>
      <c r="D846" s="21">
        <f>Table4[[#This Row],[Selling Price]]-Table_supermarket_sales___Sheet1[[#This Row],[Cost Price]]</f>
        <v>1.0659999999999989</v>
      </c>
    </row>
    <row r="847" spans="1:4" x14ac:dyDescent="0.35">
      <c r="A847" t="s">
        <v>3</v>
      </c>
      <c r="B847" s="20">
        <f>Table_supermarket_sales___Sheet1[[#This Row],[Cost Price]]+Table57[[#This Row],[Markup Cost]]</f>
        <v>107.84700000000001</v>
      </c>
      <c r="C847">
        <v>5</v>
      </c>
      <c r="D847" s="21">
        <f>Table4[[#This Row],[Selling Price]]-Table_supermarket_sales___Sheet1[[#This Row],[Cost Price]]</f>
        <v>14.067000000000007</v>
      </c>
    </row>
    <row r="848" spans="1:4" x14ac:dyDescent="0.35">
      <c r="A848" t="s">
        <v>4</v>
      </c>
      <c r="B848" s="20">
        <f>Table_supermarket_sales___Sheet1[[#This Row],[Cost Price]]+Table57[[#This Row],[Markup Cost]]</f>
        <v>76.923000000000002</v>
      </c>
      <c r="C848">
        <v>2</v>
      </c>
      <c r="D848" s="21">
        <f>Table4[[#This Row],[Selling Price]]-Table_supermarket_sales___Sheet1[[#This Row],[Cost Price]]</f>
        <v>3.6629999999999967</v>
      </c>
    </row>
    <row r="849" spans="1:4" x14ac:dyDescent="0.35">
      <c r="A849" t="s">
        <v>2</v>
      </c>
      <c r="B849" s="20">
        <f>Table_supermarket_sales___Sheet1[[#This Row],[Cost Price]]+Table57[[#This Row],[Markup Cost]]</f>
        <v>23.498999999999999</v>
      </c>
      <c r="C849">
        <v>9</v>
      </c>
      <c r="D849" s="21">
        <f>Table4[[#This Row],[Selling Price]]-Table_supermarket_sales___Sheet1[[#This Row],[Cost Price]]</f>
        <v>1.1189999999999998</v>
      </c>
    </row>
    <row r="850" spans="1:4" x14ac:dyDescent="0.35">
      <c r="A850" t="s">
        <v>3</v>
      </c>
      <c r="B850" s="20">
        <f>Table_supermarket_sales___Sheet1[[#This Row],[Cost Price]]+Table57[[#This Row],[Markup Cost]]</f>
        <v>105.67599999999999</v>
      </c>
      <c r="C850">
        <v>2</v>
      </c>
      <c r="D850" s="21">
        <f>Table4[[#This Row],[Selling Price]]-Table_supermarket_sales___Sheet1[[#This Row],[Cost Price]]</f>
        <v>32.795999999999992</v>
      </c>
    </row>
    <row r="851" spans="1:4" x14ac:dyDescent="0.35">
      <c r="A851" t="s">
        <v>6</v>
      </c>
      <c r="B851" s="20">
        <f>Table_supermarket_sales___Sheet1[[#This Row],[Cost Price]]+Table57[[#This Row],[Markup Cost]]</f>
        <v>128.82999999999998</v>
      </c>
      <c r="C851">
        <v>10</v>
      </c>
      <c r="D851" s="21">
        <f>Table4[[#This Row],[Selling Price]]-Table_supermarket_sales___Sheet1[[#This Row],[Cost Price]]</f>
        <v>29.72999999999999</v>
      </c>
    </row>
    <row r="852" spans="1:4" x14ac:dyDescent="0.35">
      <c r="A852" t="s">
        <v>2</v>
      </c>
      <c r="B852" s="20">
        <f>Table_supermarket_sales___Sheet1[[#This Row],[Cost Price]]+Table57[[#This Row],[Markup Cost]]</f>
        <v>77.804999999999993</v>
      </c>
      <c r="C852">
        <v>2</v>
      </c>
      <c r="D852" s="21">
        <f>Table4[[#This Row],[Selling Price]]-Table_supermarket_sales___Sheet1[[#This Row],[Cost Price]]</f>
        <v>3.7049999999999983</v>
      </c>
    </row>
    <row r="853" spans="1:4" x14ac:dyDescent="0.35">
      <c r="A853" t="s">
        <v>6</v>
      </c>
      <c r="B853" s="20">
        <f>Table_supermarket_sales___Sheet1[[#This Row],[Cost Price]]+Table57[[#This Row],[Markup Cost]]</f>
        <v>108.328</v>
      </c>
      <c r="C853">
        <v>3</v>
      </c>
      <c r="D853" s="21">
        <f>Table4[[#This Row],[Selling Price]]-Table_supermarket_sales___Sheet1[[#This Row],[Cost Price]]</f>
        <v>9.847999999999999</v>
      </c>
    </row>
    <row r="854" spans="1:4" x14ac:dyDescent="0.35">
      <c r="A854" t="s">
        <v>2</v>
      </c>
      <c r="B854" s="20">
        <f>Table_supermarket_sales___Sheet1[[#This Row],[Cost Price]]+Table57[[#This Row],[Markup Cost]]</f>
        <v>71.8065</v>
      </c>
      <c r="C854">
        <v>8</v>
      </c>
      <c r="D854" s="21">
        <f>Table4[[#This Row],[Selling Price]]-Table_supermarket_sales___Sheet1[[#This Row],[Cost Price]]</f>
        <v>18.616500000000002</v>
      </c>
    </row>
    <row r="855" spans="1:4" x14ac:dyDescent="0.35">
      <c r="A855" t="s">
        <v>4</v>
      </c>
      <c r="B855" s="20">
        <f>Table_supermarket_sales___Sheet1[[#This Row],[Cost Price]]+Table57[[#This Row],[Markup Cost]]</f>
        <v>79.185000000000002</v>
      </c>
      <c r="C855">
        <v>1</v>
      </c>
      <c r="D855" s="21">
        <f>Table4[[#This Row],[Selling Price]]-Table_supermarket_sales___Sheet1[[#This Row],[Cost Price]]</f>
        <v>26.395000000000003</v>
      </c>
    </row>
    <row r="856" spans="1:4" x14ac:dyDescent="0.35">
      <c r="A856" t="s">
        <v>1</v>
      </c>
      <c r="B856" s="20">
        <f>Table_supermarket_sales___Sheet1[[#This Row],[Cost Price]]+Table57[[#This Row],[Markup Cost]]</f>
        <v>119.9375</v>
      </c>
      <c r="C856">
        <v>8</v>
      </c>
      <c r="D856" s="21">
        <f>Table4[[#This Row],[Selling Price]]-Table_supermarket_sales___Sheet1[[#This Row],[Cost Price]]</f>
        <v>23.987499999999997</v>
      </c>
    </row>
    <row r="857" spans="1:4" x14ac:dyDescent="0.35">
      <c r="A857" t="s">
        <v>6</v>
      </c>
      <c r="B857" s="20">
        <f>Table_supermarket_sales___Sheet1[[#This Row],[Cost Price]]+Table57[[#This Row],[Markup Cost]]</f>
        <v>52.939499999999995</v>
      </c>
      <c r="C857">
        <v>7</v>
      </c>
      <c r="D857" s="21">
        <f>Table4[[#This Row],[Selling Price]]-Table_supermarket_sales___Sheet1[[#This Row],[Cost Price]]</f>
        <v>16.429499999999997</v>
      </c>
    </row>
    <row r="858" spans="1:4" x14ac:dyDescent="0.35">
      <c r="A858" t="s">
        <v>6</v>
      </c>
      <c r="B858" s="20">
        <f>Table_supermarket_sales___Sheet1[[#This Row],[Cost Price]]+Table57[[#This Row],[Markup Cost]]</f>
        <v>29.568000000000001</v>
      </c>
      <c r="C858">
        <v>2</v>
      </c>
      <c r="D858" s="21">
        <f>Table4[[#This Row],[Selling Price]]-Table_supermarket_sales___Sheet1[[#This Row],[Cost Price]]</f>
        <v>8.4480000000000004</v>
      </c>
    </row>
    <row r="859" spans="1:4" x14ac:dyDescent="0.35">
      <c r="A859" t="s">
        <v>2</v>
      </c>
      <c r="B859" s="20">
        <f>Table_supermarket_sales___Sheet1[[#This Row],[Cost Price]]+Table57[[#This Row],[Markup Cost]]</f>
        <v>33.972000000000001</v>
      </c>
      <c r="C859">
        <v>2</v>
      </c>
      <c r="D859" s="21">
        <f>Table4[[#This Row],[Selling Price]]-Table_supermarket_sales___Sheet1[[#This Row],[Cost Price]]</f>
        <v>5.6620000000000026</v>
      </c>
    </row>
    <row r="860" spans="1:4" x14ac:dyDescent="0.35">
      <c r="A860" t="s">
        <v>1</v>
      </c>
      <c r="B860" s="20">
        <f>Table_supermarket_sales___Sheet1[[#This Row],[Cost Price]]+Table57[[#This Row],[Markup Cost]]</f>
        <v>74.867000000000004</v>
      </c>
      <c r="C860">
        <v>6</v>
      </c>
      <c r="D860" s="21">
        <f>Table4[[#This Row],[Selling Price]]-Table_supermarket_sales___Sheet1[[#This Row],[Cost Price]]</f>
        <v>17.277000000000001</v>
      </c>
    </row>
    <row r="861" spans="1:4" x14ac:dyDescent="0.35">
      <c r="A861" t="s">
        <v>3</v>
      </c>
      <c r="B861" s="20">
        <f>Table_supermarket_sales___Sheet1[[#This Row],[Cost Price]]+Table57[[#This Row],[Markup Cost]]</f>
        <v>69.063500000000005</v>
      </c>
      <c r="C861">
        <v>3</v>
      </c>
      <c r="D861" s="21">
        <f>Table4[[#This Row],[Selling Price]]-Table_supermarket_sales___Sheet1[[#This Row],[Cost Price]]</f>
        <v>21.433500000000002</v>
      </c>
    </row>
    <row r="862" spans="1:4" x14ac:dyDescent="0.35">
      <c r="A862" t="s">
        <v>2</v>
      </c>
      <c r="B862" s="20">
        <f>Table_supermarket_sales___Sheet1[[#This Row],[Cost Price]]+Table57[[#This Row],[Markup Cost]]</f>
        <v>90.583500000000001</v>
      </c>
      <c r="C862">
        <v>5</v>
      </c>
      <c r="D862" s="21">
        <f>Table4[[#This Row],[Selling Price]]-Table_supermarket_sales___Sheet1[[#This Row],[Cost Price]]</f>
        <v>4.3135000000000048</v>
      </c>
    </row>
    <row r="863" spans="1:4" x14ac:dyDescent="0.35">
      <c r="A863" t="s">
        <v>4</v>
      </c>
      <c r="B863" s="20">
        <f>Table_supermarket_sales___Sheet1[[#This Row],[Cost Price]]+Table57[[#This Row],[Markup Cost]]</f>
        <v>14.036</v>
      </c>
      <c r="C863">
        <v>10</v>
      </c>
      <c r="D863" s="21">
        <f>Table4[[#This Row],[Selling Price]]-Table_supermarket_sales___Sheet1[[#This Row],[Cost Price]]</f>
        <v>1.2759999999999998</v>
      </c>
    </row>
    <row r="864" spans="1:4" x14ac:dyDescent="0.35">
      <c r="A864" t="s">
        <v>6</v>
      </c>
      <c r="B864" s="20">
        <f>Table_supermarket_sales___Sheet1[[#This Row],[Cost Price]]+Table57[[#This Row],[Markup Cost]]</f>
        <v>16.355999999999998</v>
      </c>
      <c r="C864">
        <v>7</v>
      </c>
      <c r="D864" s="21">
        <f>Table4[[#This Row],[Selling Price]]-Table_supermarket_sales___Sheet1[[#This Row],[Cost Price]]</f>
        <v>5.0759999999999987</v>
      </c>
    </row>
    <row r="865" spans="1:4" x14ac:dyDescent="0.35">
      <c r="A865" t="s">
        <v>1</v>
      </c>
      <c r="B865" s="22">
        <f>Table_supermarket_sales___Sheet1[[#This Row],[Cost Price]]+Table57[[#This Row],[Markup Cost]]</f>
        <v>68.944500000000005</v>
      </c>
      <c r="C865">
        <v>7</v>
      </c>
      <c r="D865" s="21">
        <f>Table4[[#This Row],[Selling Price]]-Table_supermarket_sales___Sheet1[[#This Row],[Cost Price]]</f>
        <v>17.874500000000005</v>
      </c>
    </row>
    <row r="866" spans="1:4" x14ac:dyDescent="0.35">
      <c r="A866" t="s">
        <v>1</v>
      </c>
      <c r="B866" s="20">
        <f>Table_supermarket_sales___Sheet1[[#This Row],[Cost Price]]+Table57[[#This Row],[Markup Cost]]</f>
        <v>91.528500000000008</v>
      </c>
      <c r="C866">
        <v>5</v>
      </c>
      <c r="D866" s="21">
        <f>Table4[[#This Row],[Selling Price]]-Table_supermarket_sales___Sheet1[[#This Row],[Cost Price]]</f>
        <v>11.938500000000005</v>
      </c>
    </row>
    <row r="867" spans="1:4" x14ac:dyDescent="0.35">
      <c r="A867" t="s">
        <v>5</v>
      </c>
      <c r="B867" s="20">
        <f>Table_supermarket_sales___Sheet1[[#This Row],[Cost Price]]+Table57[[#This Row],[Markup Cost]]</f>
        <v>38.881500000000003</v>
      </c>
      <c r="C867">
        <v>5</v>
      </c>
      <c r="D867" s="21">
        <f>Table4[[#This Row],[Selling Price]]-Table_supermarket_sales___Sheet1[[#This Row],[Cost Price]]</f>
        <v>5.0715000000000003</v>
      </c>
    </row>
    <row r="868" spans="1:4" x14ac:dyDescent="0.35">
      <c r="A868" t="s">
        <v>3</v>
      </c>
      <c r="B868" s="20">
        <f>Table_supermarket_sales___Sheet1[[#This Row],[Cost Price]]+Table57[[#This Row],[Markup Cost]]</f>
        <v>126.742</v>
      </c>
      <c r="C868">
        <v>3</v>
      </c>
      <c r="D868" s="21">
        <f>Table4[[#This Row],[Selling Price]]-Table_supermarket_sales___Sheet1[[#This Row],[Cost Price]]</f>
        <v>36.212000000000003</v>
      </c>
    </row>
    <row r="869" spans="1:4" x14ac:dyDescent="0.35">
      <c r="A869" t="s">
        <v>1</v>
      </c>
      <c r="B869" s="20">
        <f>Table_supermarket_sales___Sheet1[[#This Row],[Cost Price]]+Table57[[#This Row],[Markup Cost]]</f>
        <v>69.102000000000004</v>
      </c>
      <c r="C869">
        <v>2</v>
      </c>
      <c r="D869" s="21">
        <f>Table4[[#This Row],[Selling Price]]-Table_supermarket_sales___Sheet1[[#This Row],[Cost Price]]</f>
        <v>6.2820000000000036</v>
      </c>
    </row>
    <row r="870" spans="1:4" x14ac:dyDescent="0.35">
      <c r="A870" t="s">
        <v>2</v>
      </c>
      <c r="B870" s="20">
        <f>Table_supermarket_sales___Sheet1[[#This Row],[Cost Price]]+Table57[[#This Row],[Markup Cost]]</f>
        <v>27.956499999999998</v>
      </c>
      <c r="C870">
        <v>3</v>
      </c>
      <c r="D870" s="21">
        <f>Table4[[#This Row],[Selling Price]]-Table_supermarket_sales___Sheet1[[#This Row],[Cost Price]]</f>
        <v>3.6464999999999996</v>
      </c>
    </row>
    <row r="871" spans="1:4" x14ac:dyDescent="0.35">
      <c r="A871" t="s">
        <v>5</v>
      </c>
      <c r="B871" s="20">
        <f>Table_supermarket_sales___Sheet1[[#This Row],[Cost Price]]+Table57[[#This Row],[Markup Cost]]</f>
        <v>77.50800000000001</v>
      </c>
      <c r="C871">
        <v>9</v>
      </c>
      <c r="D871" s="21">
        <f>Table4[[#This Row],[Selling Price]]-Table_supermarket_sales___Sheet1[[#This Row],[Cost Price]]</f>
        <v>12.918000000000006</v>
      </c>
    </row>
    <row r="872" spans="1:4" x14ac:dyDescent="0.35">
      <c r="A872" t="s">
        <v>2</v>
      </c>
      <c r="B872" s="20">
        <f>Table_supermarket_sales___Sheet1[[#This Row],[Cost Price]]+Table57[[#This Row],[Markup Cost]]</f>
        <v>33.506999999999998</v>
      </c>
      <c r="C872">
        <v>10</v>
      </c>
      <c r="D872" s="21">
        <f>Table4[[#This Row],[Selling Price]]-Table_supermarket_sales___Sheet1[[#This Row],[Cost Price]]</f>
        <v>8.6869999999999976</v>
      </c>
    </row>
    <row r="873" spans="1:4" x14ac:dyDescent="0.35">
      <c r="A873" t="s">
        <v>1</v>
      </c>
      <c r="B873" s="20">
        <f>Table_supermarket_sales___Sheet1[[#This Row],[Cost Price]]+Table57[[#This Row],[Markup Cost]]</f>
        <v>59.325000000000003</v>
      </c>
      <c r="C873">
        <v>7</v>
      </c>
      <c r="D873" s="21">
        <f>Table4[[#This Row],[Selling Price]]-Table_supermarket_sales___Sheet1[[#This Row],[Cost Price]]</f>
        <v>2.8250000000000028</v>
      </c>
    </row>
    <row r="874" spans="1:4" x14ac:dyDescent="0.35">
      <c r="A874" t="s">
        <v>2</v>
      </c>
      <c r="B874" s="20">
        <f>Table_supermarket_sales___Sheet1[[#This Row],[Cost Price]]+Table57[[#This Row],[Markup Cost]]</f>
        <v>32.144999999999996</v>
      </c>
      <c r="C874">
        <v>5</v>
      </c>
      <c r="D874" s="21">
        <f>Table4[[#This Row],[Selling Price]]-Table_supermarket_sales___Sheet1[[#This Row],[Cost Price]]</f>
        <v>10.714999999999996</v>
      </c>
    </row>
    <row r="875" spans="1:4" x14ac:dyDescent="0.35">
      <c r="A875" t="s">
        <v>5</v>
      </c>
      <c r="B875" s="20">
        <f>Table_supermarket_sales___Sheet1[[#This Row],[Cost Price]]+Table57[[#This Row],[Markup Cost]]</f>
        <v>115.77800000000001</v>
      </c>
      <c r="C875">
        <v>8</v>
      </c>
      <c r="D875" s="21">
        <f>Table4[[#This Row],[Selling Price]]-Table_supermarket_sales___Sheet1[[#This Row],[Cost Price]]</f>
        <v>26.718000000000004</v>
      </c>
    </row>
    <row r="876" spans="1:4" x14ac:dyDescent="0.35">
      <c r="A876" t="s">
        <v>6</v>
      </c>
      <c r="B876" s="20">
        <f>Table_supermarket_sales___Sheet1[[#This Row],[Cost Price]]+Table57[[#This Row],[Markup Cost]]</f>
        <v>27.948</v>
      </c>
      <c r="C876">
        <v>8</v>
      </c>
      <c r="D876" s="21">
        <f>Table4[[#This Row],[Selling Price]]-Table_supermarket_sales___Sheet1[[#This Row],[Cost Price]]</f>
        <v>4.6580000000000013</v>
      </c>
    </row>
    <row r="877" spans="1:4" x14ac:dyDescent="0.35">
      <c r="A877" t="s">
        <v>2</v>
      </c>
      <c r="B877" s="20">
        <f>Table_supermarket_sales___Sheet1[[#This Row],[Cost Price]]+Table57[[#This Row],[Markup Cost]]</f>
        <v>91.364000000000004</v>
      </c>
      <c r="C877">
        <v>7</v>
      </c>
      <c r="D877" s="21">
        <f>Table4[[#This Row],[Selling Price]]-Table_supermarket_sales___Sheet1[[#This Row],[Cost Price]]</f>
        <v>26.103999999999999</v>
      </c>
    </row>
    <row r="878" spans="1:4" x14ac:dyDescent="0.35">
      <c r="A878" t="s">
        <v>5</v>
      </c>
      <c r="B878" s="20">
        <f>Table_supermarket_sales___Sheet1[[#This Row],[Cost Price]]+Table57[[#This Row],[Markup Cost]]</f>
        <v>54.967500000000001</v>
      </c>
      <c r="C878">
        <v>7</v>
      </c>
      <c r="D878" s="21">
        <f>Table4[[#This Row],[Selling Price]]-Table_supermarket_sales___Sheet1[[#This Row],[Cost Price]]</f>
        <v>2.6174999999999997</v>
      </c>
    </row>
    <row r="879" spans="1:4" x14ac:dyDescent="0.35">
      <c r="A879" t="s">
        <v>1</v>
      </c>
      <c r="B879" s="20">
        <f>Table_supermarket_sales___Sheet1[[#This Row],[Cost Price]]+Table57[[#This Row],[Markup Cost]]</f>
        <v>41.737499999999997</v>
      </c>
      <c r="C879">
        <v>9</v>
      </c>
      <c r="D879" s="21">
        <f>Table4[[#This Row],[Selling Price]]-Table_supermarket_sales___Sheet1[[#This Row],[Cost Price]]</f>
        <v>1.9874999999999972</v>
      </c>
    </row>
    <row r="880" spans="1:4" x14ac:dyDescent="0.35">
      <c r="A880" t="s">
        <v>2</v>
      </c>
      <c r="B880" s="20">
        <f>Table_supermarket_sales___Sheet1[[#This Row],[Cost Price]]+Table57[[#This Row],[Markup Cost]]</f>
        <v>126.02799999999999</v>
      </c>
      <c r="C880">
        <v>4</v>
      </c>
      <c r="D880" s="21">
        <f>Table4[[#This Row],[Selling Price]]-Table_supermarket_sales___Sheet1[[#This Row],[Cost Price]]</f>
        <v>36.007999999999996</v>
      </c>
    </row>
    <row r="881" spans="1:4" x14ac:dyDescent="0.35">
      <c r="A881" t="s">
        <v>4</v>
      </c>
      <c r="B881" s="20">
        <f>Table_supermarket_sales___Sheet1[[#This Row],[Cost Price]]+Table57[[#This Row],[Markup Cost]]</f>
        <v>16.939999999999998</v>
      </c>
      <c r="C881">
        <v>1</v>
      </c>
      <c r="D881" s="21">
        <f>Table4[[#This Row],[Selling Price]]-Table_supermarket_sales___Sheet1[[#This Row],[Cost Price]]</f>
        <v>4.8399999999999981</v>
      </c>
    </row>
    <row r="882" spans="1:4" x14ac:dyDescent="0.35">
      <c r="A882" t="s">
        <v>4</v>
      </c>
      <c r="B882" s="20">
        <f>Table_supermarket_sales___Sheet1[[#This Row],[Cost Price]]+Table57[[#This Row],[Markup Cost]]</f>
        <v>49.814999999999998</v>
      </c>
      <c r="C882">
        <v>10</v>
      </c>
      <c r="D882" s="21">
        <f>Table4[[#This Row],[Selling Price]]-Table_supermarket_sales___Sheet1[[#This Row],[Cost Price]]</f>
        <v>16.604999999999997</v>
      </c>
    </row>
    <row r="883" spans="1:4" x14ac:dyDescent="0.35">
      <c r="A883" t="s">
        <v>5</v>
      </c>
      <c r="B883" s="20">
        <f>Table_supermarket_sales___Sheet1[[#This Row],[Cost Price]]+Table57[[#This Row],[Markup Cost]]</f>
        <v>14.251999999999999</v>
      </c>
      <c r="C883">
        <v>3</v>
      </c>
      <c r="D883" s="21">
        <f>Table4[[#This Row],[Selling Price]]-Table_supermarket_sales___Sheet1[[#This Row],[Cost Price]]</f>
        <v>4.0719999999999992</v>
      </c>
    </row>
    <row r="884" spans="1:4" x14ac:dyDescent="0.35">
      <c r="A884" t="s">
        <v>6</v>
      </c>
      <c r="B884" s="20">
        <f>Table_supermarket_sales___Sheet1[[#This Row],[Cost Price]]+Table57[[#This Row],[Markup Cost]]</f>
        <v>47.984999999999999</v>
      </c>
      <c r="C884">
        <v>1</v>
      </c>
      <c r="D884" s="21">
        <f>Table4[[#This Row],[Selling Price]]-Table_supermarket_sales___Sheet1[[#This Row],[Cost Price]]</f>
        <v>15.995000000000001</v>
      </c>
    </row>
    <row r="885" spans="1:4" x14ac:dyDescent="0.35">
      <c r="A885" t="s">
        <v>6</v>
      </c>
      <c r="B885" s="20">
        <f>Table_supermarket_sales___Sheet1[[#This Row],[Cost Price]]+Table57[[#This Row],[Markup Cost]]</f>
        <v>44.746000000000002</v>
      </c>
      <c r="C885">
        <v>5</v>
      </c>
      <c r="D885" s="21">
        <f>Table4[[#This Row],[Selling Price]]-Table_supermarket_sales___Sheet1[[#This Row],[Cost Price]]</f>
        <v>10.326000000000001</v>
      </c>
    </row>
    <row r="886" spans="1:4" x14ac:dyDescent="0.35">
      <c r="A886" t="s">
        <v>1</v>
      </c>
      <c r="B886" s="20">
        <f>Table_supermarket_sales___Sheet1[[#This Row],[Cost Price]]+Table57[[#This Row],[Markup Cost]]</f>
        <v>91.674000000000007</v>
      </c>
      <c r="C886">
        <v>4</v>
      </c>
      <c r="D886" s="21">
        <f>Table4[[#This Row],[Selling Price]]-Table_supermarket_sales___Sheet1[[#This Row],[Cost Price]]</f>
        <v>8.3340000000000032</v>
      </c>
    </row>
    <row r="887" spans="1:4" x14ac:dyDescent="0.35">
      <c r="A887" t="s">
        <v>5</v>
      </c>
      <c r="B887" s="20">
        <f>Table_supermarket_sales___Sheet1[[#This Row],[Cost Price]]+Table57[[#This Row],[Markup Cost]]</f>
        <v>61.533000000000001</v>
      </c>
      <c r="C887">
        <v>3</v>
      </c>
      <c r="D887" s="21">
        <f>Table4[[#This Row],[Selling Price]]-Table_supermarket_sales___Sheet1[[#This Row],[Cost Price]]</f>
        <v>15.953000000000003</v>
      </c>
    </row>
    <row r="888" spans="1:4" x14ac:dyDescent="0.35">
      <c r="A888" t="s">
        <v>2</v>
      </c>
      <c r="B888" s="20">
        <f>Table_supermarket_sales___Sheet1[[#This Row],[Cost Price]]+Table57[[#This Row],[Markup Cost]]</f>
        <v>92.295000000000002</v>
      </c>
      <c r="C888">
        <v>6</v>
      </c>
      <c r="D888" s="21">
        <f>Table4[[#This Row],[Selling Price]]-Table_supermarket_sales___Sheet1[[#This Row],[Cost Price]]</f>
        <v>4.394999999999996</v>
      </c>
    </row>
    <row r="889" spans="1:4" x14ac:dyDescent="0.35">
      <c r="A889" t="s">
        <v>2</v>
      </c>
      <c r="B889" s="20">
        <f>Table_supermarket_sales___Sheet1[[#This Row],[Cost Price]]+Table57[[#This Row],[Markup Cost]]</f>
        <v>110.205</v>
      </c>
      <c r="C889">
        <v>6</v>
      </c>
      <c r="D889" s="21">
        <f>Table4[[#This Row],[Selling Price]]-Table_supermarket_sales___Sheet1[[#This Row],[Cost Price]]</f>
        <v>36.734999999999999</v>
      </c>
    </row>
    <row r="890" spans="1:4" x14ac:dyDescent="0.35">
      <c r="A890" t="s">
        <v>3</v>
      </c>
      <c r="B890" s="20">
        <f>Table_supermarket_sales___Sheet1[[#This Row],[Cost Price]]+Table57[[#This Row],[Markup Cost]]</f>
        <v>17.065999999999999</v>
      </c>
      <c r="C890">
        <v>7</v>
      </c>
      <c r="D890" s="21">
        <f>Table4[[#This Row],[Selling Price]]-Table_supermarket_sales___Sheet1[[#This Row],[Cost Price]]</f>
        <v>4.8759999999999994</v>
      </c>
    </row>
    <row r="891" spans="1:4" x14ac:dyDescent="0.35">
      <c r="A891" t="s">
        <v>1</v>
      </c>
      <c r="B891" s="20">
        <f>Table_supermarket_sales___Sheet1[[#This Row],[Cost Price]]+Table57[[#This Row],[Markup Cost]]</f>
        <v>115.38</v>
      </c>
      <c r="C891">
        <v>2</v>
      </c>
      <c r="D891" s="21">
        <f>Table4[[#This Row],[Selling Price]]-Table_supermarket_sales___Sheet1[[#This Row],[Cost Price]]</f>
        <v>38.459999999999994</v>
      </c>
    </row>
    <row r="892" spans="1:4" x14ac:dyDescent="0.35">
      <c r="A892" t="s">
        <v>2</v>
      </c>
      <c r="B892" s="20">
        <f>Table_supermarket_sales___Sheet1[[#This Row],[Cost Price]]+Table57[[#This Row],[Markup Cost]]</f>
        <v>104.57499999999999</v>
      </c>
      <c r="C892">
        <v>6</v>
      </c>
      <c r="D892" s="21">
        <f>Table4[[#This Row],[Selling Price]]-Table_supermarket_sales___Sheet1[[#This Row],[Cost Price]]</f>
        <v>20.914999999999992</v>
      </c>
    </row>
    <row r="893" spans="1:4" x14ac:dyDescent="0.35">
      <c r="A893" t="s">
        <v>1</v>
      </c>
      <c r="B893" s="20">
        <f>Table_supermarket_sales___Sheet1[[#This Row],[Cost Price]]+Table57[[#This Row],[Markup Cost]]</f>
        <v>81.073999999999998</v>
      </c>
      <c r="C893">
        <v>3</v>
      </c>
      <c r="D893" s="21">
        <f>Table4[[#This Row],[Selling Price]]-Table_supermarket_sales___Sheet1[[#This Row],[Cost Price]]</f>
        <v>23.164000000000001</v>
      </c>
    </row>
    <row r="894" spans="1:4" x14ac:dyDescent="0.35">
      <c r="A894" t="s">
        <v>6</v>
      </c>
      <c r="B894" s="20">
        <f>Table_supermarket_sales___Sheet1[[#This Row],[Cost Price]]+Table57[[#This Row],[Markup Cost]]</f>
        <v>115.6125</v>
      </c>
      <c r="C894">
        <v>6</v>
      </c>
      <c r="D894" s="21">
        <f>Table4[[#This Row],[Selling Price]]-Table_supermarket_sales___Sheet1[[#This Row],[Cost Price]]</f>
        <v>23.122500000000002</v>
      </c>
    </row>
    <row r="895" spans="1:4" x14ac:dyDescent="0.35">
      <c r="A895" t="s">
        <v>4</v>
      </c>
      <c r="B895" s="20">
        <f>Table_supermarket_sales___Sheet1[[#This Row],[Cost Price]]+Table57[[#This Row],[Markup Cost]]</f>
        <v>35.475000000000001</v>
      </c>
      <c r="C895">
        <v>7</v>
      </c>
      <c r="D895" s="21">
        <f>Table4[[#This Row],[Selling Price]]-Table_supermarket_sales___Sheet1[[#This Row],[Cost Price]]</f>
        <v>7.0950000000000024</v>
      </c>
    </row>
    <row r="896" spans="1:4" x14ac:dyDescent="0.35">
      <c r="A896" t="s">
        <v>1</v>
      </c>
      <c r="B896" s="20">
        <f>Table_supermarket_sales___Sheet1[[#This Row],[Cost Price]]+Table57[[#This Row],[Markup Cost]]</f>
        <v>65.585000000000008</v>
      </c>
      <c r="C896">
        <v>7</v>
      </c>
      <c r="D896" s="21">
        <f>Table4[[#This Row],[Selling Price]]-Table_supermarket_sales___Sheet1[[#This Row],[Cost Price]]</f>
        <v>15.135000000000005</v>
      </c>
    </row>
    <row r="897" spans="1:4" x14ac:dyDescent="0.35">
      <c r="A897" t="s">
        <v>1</v>
      </c>
      <c r="B897" s="20">
        <f>Table_supermarket_sales___Sheet1[[#This Row],[Cost Price]]+Table57[[#This Row],[Markup Cost]]</f>
        <v>138.82400000000001</v>
      </c>
      <c r="C897">
        <v>7</v>
      </c>
      <c r="D897" s="21">
        <f>Table4[[#This Row],[Selling Price]]-Table_supermarket_sales___Sheet1[[#This Row],[Cost Price]]</f>
        <v>39.664000000000016</v>
      </c>
    </row>
    <row r="898" spans="1:4" x14ac:dyDescent="0.35">
      <c r="A898" t="s">
        <v>2</v>
      </c>
      <c r="B898" s="20">
        <f>Table_supermarket_sales___Sheet1[[#This Row],[Cost Price]]+Table57[[#This Row],[Markup Cost]]</f>
        <v>81.998999999999995</v>
      </c>
      <c r="C898">
        <v>5</v>
      </c>
      <c r="D898" s="21">
        <f>Table4[[#This Row],[Selling Price]]-Table_supermarket_sales___Sheet1[[#This Row],[Cost Price]]</f>
        <v>21.258999999999993</v>
      </c>
    </row>
    <row r="899" spans="1:4" x14ac:dyDescent="0.35">
      <c r="A899" t="s">
        <v>1</v>
      </c>
      <c r="B899" s="20">
        <f>Table_supermarket_sales___Sheet1[[#This Row],[Cost Price]]+Table57[[#This Row],[Markup Cost]]</f>
        <v>61.451000000000001</v>
      </c>
      <c r="C899">
        <v>4</v>
      </c>
      <c r="D899" s="21">
        <f>Table4[[#This Row],[Selling Price]]-Table_supermarket_sales___Sheet1[[#This Row],[Cost Price]]</f>
        <v>14.180999999999997</v>
      </c>
    </row>
    <row r="900" spans="1:4" x14ac:dyDescent="0.35">
      <c r="A900" t="s">
        <v>1</v>
      </c>
      <c r="B900" s="20">
        <f>Table_supermarket_sales___Sheet1[[#This Row],[Cost Price]]+Table57[[#This Row],[Markup Cost]]</f>
        <v>115.56</v>
      </c>
      <c r="C900">
        <v>4</v>
      </c>
      <c r="D900" s="21">
        <f>Table4[[#This Row],[Selling Price]]-Table_supermarket_sales___Sheet1[[#This Row],[Cost Price]]</f>
        <v>29.960000000000008</v>
      </c>
    </row>
    <row r="901" spans="1:4" x14ac:dyDescent="0.35">
      <c r="A901" t="s">
        <v>6</v>
      </c>
      <c r="B901" s="20">
        <f>Table_supermarket_sales___Sheet1[[#This Row],[Cost Price]]+Table57[[#This Row],[Markup Cost]]</f>
        <v>50.808</v>
      </c>
      <c r="C901">
        <v>5</v>
      </c>
      <c r="D901" s="21">
        <f>Table4[[#This Row],[Selling Price]]-Table_supermarket_sales___Sheet1[[#This Row],[Cost Price]]</f>
        <v>15.768000000000001</v>
      </c>
    </row>
    <row r="902" spans="1:4" x14ac:dyDescent="0.35">
      <c r="A902" t="s">
        <v>6</v>
      </c>
      <c r="B902" s="20">
        <f>Table_supermarket_sales___Sheet1[[#This Row],[Cost Price]]+Table57[[#This Row],[Markup Cost]]</f>
        <v>65.018000000000001</v>
      </c>
      <c r="C902">
        <v>5</v>
      </c>
      <c r="D902" s="21">
        <f>Table4[[#This Row],[Selling Price]]-Table_supermarket_sales___Sheet1[[#This Row],[Cost Price]]</f>
        <v>20.177999999999997</v>
      </c>
    </row>
    <row r="903" spans="1:4" x14ac:dyDescent="0.35">
      <c r="A903" t="s">
        <v>6</v>
      </c>
      <c r="B903" s="20">
        <f>Table_supermarket_sales___Sheet1[[#This Row],[Cost Price]]+Table57[[#This Row],[Markup Cost]]</f>
        <v>55.164000000000001</v>
      </c>
      <c r="C903">
        <v>9</v>
      </c>
      <c r="D903" s="21">
        <f>Table4[[#This Row],[Selling Price]]-Table_supermarket_sales___Sheet1[[#This Row],[Cost Price]]</f>
        <v>9.1940000000000026</v>
      </c>
    </row>
    <row r="904" spans="1:4" x14ac:dyDescent="0.35">
      <c r="A904" t="s">
        <v>4</v>
      </c>
      <c r="B904" s="20">
        <f>Table_supermarket_sales___Sheet1[[#This Row],[Cost Price]]+Table57[[#This Row],[Markup Cost]]</f>
        <v>34.662500000000001</v>
      </c>
      <c r="C904">
        <v>2</v>
      </c>
      <c r="D904" s="21">
        <f>Table4[[#This Row],[Selling Price]]-Table_supermarket_sales___Sheet1[[#This Row],[Cost Price]]</f>
        <v>6.932500000000001</v>
      </c>
    </row>
    <row r="905" spans="1:4" x14ac:dyDescent="0.35">
      <c r="A905" t="s">
        <v>6</v>
      </c>
      <c r="B905" s="20">
        <f>Table_supermarket_sales___Sheet1[[#This Row],[Cost Price]]+Table57[[#This Row],[Markup Cost]]</f>
        <v>15.5655</v>
      </c>
      <c r="C905">
        <v>5</v>
      </c>
      <c r="D905" s="21">
        <f>Table4[[#This Row],[Selling Price]]-Table_supermarket_sales___Sheet1[[#This Row],[Cost Price]]</f>
        <v>4.0355000000000008</v>
      </c>
    </row>
    <row r="906" spans="1:4" x14ac:dyDescent="0.35">
      <c r="A906" t="s">
        <v>5</v>
      </c>
      <c r="B906" s="20">
        <f>Table_supermarket_sales___Sheet1[[#This Row],[Cost Price]]+Table57[[#This Row],[Markup Cost]]</f>
        <v>64.152000000000001</v>
      </c>
      <c r="C906">
        <v>9</v>
      </c>
      <c r="D906" s="21">
        <f>Table4[[#This Row],[Selling Price]]-Table_supermarket_sales___Sheet1[[#This Row],[Cost Price]]</f>
        <v>5.8320000000000007</v>
      </c>
    </row>
    <row r="907" spans="1:4" x14ac:dyDescent="0.35">
      <c r="A907" t="s">
        <v>2</v>
      </c>
      <c r="B907" s="20">
        <f>Table_supermarket_sales___Sheet1[[#This Row],[Cost Price]]+Table57[[#This Row],[Markup Cost]]</f>
        <v>94.055999999999997</v>
      </c>
      <c r="C907">
        <v>1</v>
      </c>
      <c r="D907" s="21">
        <f>Table4[[#This Row],[Selling Price]]-Table_supermarket_sales___Sheet1[[#This Row],[Cost Price]]</f>
        <v>15.676000000000002</v>
      </c>
    </row>
    <row r="908" spans="1:4" x14ac:dyDescent="0.35">
      <c r="A908" t="s">
        <v>6</v>
      </c>
      <c r="B908" s="20">
        <f>Table_supermarket_sales___Sheet1[[#This Row],[Cost Price]]+Table57[[#This Row],[Markup Cost]]</f>
        <v>126.91499999999999</v>
      </c>
      <c r="C908">
        <v>3</v>
      </c>
      <c r="D908" s="21">
        <f>Table4[[#This Row],[Selling Price]]-Table_supermarket_sales___Sheet1[[#This Row],[Cost Price]]</f>
        <v>42.304999999999993</v>
      </c>
    </row>
    <row r="909" spans="1:4" x14ac:dyDescent="0.35">
      <c r="A909" t="s">
        <v>4</v>
      </c>
      <c r="B909" s="20">
        <f>Table_supermarket_sales___Sheet1[[#This Row],[Cost Price]]+Table57[[#This Row],[Markup Cost]]</f>
        <v>103.6</v>
      </c>
      <c r="C909">
        <v>5</v>
      </c>
      <c r="D909" s="21">
        <f>Table4[[#This Row],[Selling Price]]-Table_supermarket_sales___Sheet1[[#This Row],[Cost Price]]</f>
        <v>20.72</v>
      </c>
    </row>
    <row r="910" spans="1:4" x14ac:dyDescent="0.35">
      <c r="A910" t="s">
        <v>4</v>
      </c>
      <c r="B910" s="20">
        <f>Table_supermarket_sales___Sheet1[[#This Row],[Cost Price]]+Table57[[#This Row],[Markup Cost]]</f>
        <v>87.494</v>
      </c>
      <c r="C910">
        <v>4</v>
      </c>
      <c r="D910" s="21">
        <f>Table4[[#This Row],[Selling Price]]-Table_supermarket_sales___Sheet1[[#This Row],[Cost Price]]</f>
        <v>7.9539999999999935</v>
      </c>
    </row>
    <row r="911" spans="1:4" x14ac:dyDescent="0.35">
      <c r="A911" t="s">
        <v>1</v>
      </c>
      <c r="B911" s="20">
        <f>Table_supermarket_sales___Sheet1[[#This Row],[Cost Price]]+Table57[[#This Row],[Markup Cost]]</f>
        <v>73.515000000000001</v>
      </c>
      <c r="C911">
        <v>6</v>
      </c>
      <c r="D911" s="21">
        <f>Table4[[#This Row],[Selling Price]]-Table_supermarket_sales___Sheet1[[#This Row],[Cost Price]]</f>
        <v>24.505000000000003</v>
      </c>
    </row>
    <row r="912" spans="1:4" x14ac:dyDescent="0.35">
      <c r="A912" t="s">
        <v>4</v>
      </c>
      <c r="B912" s="20">
        <f>Table_supermarket_sales___Sheet1[[#This Row],[Cost Price]]+Table57[[#This Row],[Markup Cost]]</f>
        <v>33.522500000000001</v>
      </c>
      <c r="C912">
        <v>5</v>
      </c>
      <c r="D912" s="21">
        <f>Table4[[#This Row],[Selling Price]]-Table_supermarket_sales___Sheet1[[#This Row],[Cost Price]]</f>
        <v>4.3725000000000023</v>
      </c>
    </row>
    <row r="913" spans="1:4" x14ac:dyDescent="0.35">
      <c r="A913" t="s">
        <v>4</v>
      </c>
      <c r="B913" s="20">
        <f>Table_supermarket_sales___Sheet1[[#This Row],[Cost Price]]+Table57[[#This Row],[Markup Cost]]</f>
        <v>67.356000000000009</v>
      </c>
      <c r="C913">
        <v>10</v>
      </c>
      <c r="D913" s="21">
        <f>Table4[[#This Row],[Selling Price]]-Table_supermarket_sales___Sheet1[[#This Row],[Cost Price]]</f>
        <v>11.226000000000006</v>
      </c>
    </row>
    <row r="914" spans="1:4" x14ac:dyDescent="0.35">
      <c r="A914" t="s">
        <v>1</v>
      </c>
      <c r="B914" s="20">
        <f>Table_supermarket_sales___Sheet1[[#This Row],[Cost Price]]+Table57[[#This Row],[Markup Cost]]</f>
        <v>130.36799999999999</v>
      </c>
      <c r="C914">
        <v>4</v>
      </c>
      <c r="D914" s="21">
        <f>Table4[[#This Row],[Selling Price]]-Table_supermarket_sales___Sheet1[[#This Row],[Cost Price]]</f>
        <v>37.24799999999999</v>
      </c>
    </row>
    <row r="915" spans="1:4" x14ac:dyDescent="0.35">
      <c r="A915" t="s">
        <v>4</v>
      </c>
      <c r="B915" s="20">
        <f>Table_supermarket_sales___Sheet1[[#This Row],[Cost Price]]+Table57[[#This Row],[Markup Cost]]</f>
        <v>71.876000000000005</v>
      </c>
      <c r="C915">
        <v>5</v>
      </c>
      <c r="D915" s="21">
        <f>Table4[[#This Row],[Selling Price]]-Table_supermarket_sales___Sheet1[[#This Row],[Cost Price]]</f>
        <v>20.536000000000001</v>
      </c>
    </row>
    <row r="916" spans="1:4" x14ac:dyDescent="0.35">
      <c r="A916" t="s">
        <v>2</v>
      </c>
      <c r="B916" s="20">
        <f>Table_supermarket_sales___Sheet1[[#This Row],[Cost Price]]+Table57[[#This Row],[Markup Cost]]</f>
        <v>114.53999999999999</v>
      </c>
      <c r="C916">
        <v>5</v>
      </c>
      <c r="D916" s="21">
        <f>Table4[[#This Row],[Selling Price]]-Table_supermarket_sales___Sheet1[[#This Row],[Cost Price]]</f>
        <v>14.939999999999998</v>
      </c>
    </row>
    <row r="917" spans="1:4" x14ac:dyDescent="0.35">
      <c r="A917" t="s">
        <v>2</v>
      </c>
      <c r="B917" s="20">
        <f>Table_supermarket_sales___Sheet1[[#This Row],[Cost Price]]+Table57[[#This Row],[Markup Cost]]</f>
        <v>46.137</v>
      </c>
      <c r="C917">
        <v>8</v>
      </c>
      <c r="D917" s="21">
        <f>Table4[[#This Row],[Selling Price]]-Table_supermarket_sales___Sheet1[[#This Row],[Cost Price]]</f>
        <v>10.646999999999998</v>
      </c>
    </row>
    <row r="918" spans="1:4" x14ac:dyDescent="0.35">
      <c r="A918" t="s">
        <v>3</v>
      </c>
      <c r="B918" s="20">
        <f>Table_supermarket_sales___Sheet1[[#This Row],[Cost Price]]+Table57[[#This Row],[Markup Cost]]</f>
        <v>44.9925</v>
      </c>
      <c r="C918">
        <v>6</v>
      </c>
      <c r="D918" s="21">
        <f>Table4[[#This Row],[Selling Price]]-Table_supermarket_sales___Sheet1[[#This Row],[Cost Price]]</f>
        <v>2.1424999999999983</v>
      </c>
    </row>
    <row r="919" spans="1:4" x14ac:dyDescent="0.35">
      <c r="A919" t="s">
        <v>6</v>
      </c>
      <c r="B919" s="20">
        <f>Table_supermarket_sales___Sheet1[[#This Row],[Cost Price]]+Table57[[#This Row],[Markup Cost]]</f>
        <v>113.604</v>
      </c>
      <c r="C919">
        <v>5</v>
      </c>
      <c r="D919" s="21">
        <f>Table4[[#This Row],[Selling Price]]-Table_supermarket_sales___Sheet1[[#This Row],[Cost Price]]</f>
        <v>18.933999999999997</v>
      </c>
    </row>
    <row r="920" spans="1:4" x14ac:dyDescent="0.35">
      <c r="A920" t="s">
        <v>3</v>
      </c>
      <c r="B920" s="20">
        <f>Table_supermarket_sales___Sheet1[[#This Row],[Cost Price]]+Table57[[#This Row],[Markup Cost]]</f>
        <v>79.3155</v>
      </c>
      <c r="C920">
        <v>6</v>
      </c>
      <c r="D920" s="21">
        <f>Table4[[#This Row],[Selling Price]]-Table_supermarket_sales___Sheet1[[#This Row],[Cost Price]]</f>
        <v>10.345500000000001</v>
      </c>
    </row>
    <row r="921" spans="1:4" x14ac:dyDescent="0.35">
      <c r="A921" t="s">
        <v>6</v>
      </c>
      <c r="B921" s="20">
        <f>Table_supermarket_sales___Sheet1[[#This Row],[Cost Price]]+Table57[[#This Row],[Markup Cost]]</f>
        <v>30.199000000000002</v>
      </c>
      <c r="C921">
        <v>2</v>
      </c>
      <c r="D921" s="21">
        <f>Table4[[#This Row],[Selling Price]]-Table_supermarket_sales___Sheet1[[#This Row],[Cost Price]]</f>
        <v>3.9390000000000001</v>
      </c>
    </row>
    <row r="922" spans="1:4" x14ac:dyDescent="0.35">
      <c r="A922" t="s">
        <v>6</v>
      </c>
      <c r="B922" s="20">
        <f>Table_supermarket_sales___Sheet1[[#This Row],[Cost Price]]+Table57[[#This Row],[Markup Cost]]</f>
        <v>51.895499999999998</v>
      </c>
      <c r="C922">
        <v>4</v>
      </c>
      <c r="D922" s="21">
        <f>Table4[[#This Row],[Selling Price]]-Table_supermarket_sales___Sheet1[[#This Row],[Cost Price]]</f>
        <v>16.105499999999999</v>
      </c>
    </row>
    <row r="923" spans="1:4" x14ac:dyDescent="0.35">
      <c r="A923" t="s">
        <v>1</v>
      </c>
      <c r="B923" s="20">
        <f>Table_supermarket_sales___Sheet1[[#This Row],[Cost Price]]+Table57[[#This Row],[Markup Cost]]</f>
        <v>21.280999999999999</v>
      </c>
      <c r="C923">
        <v>7</v>
      </c>
      <c r="D923" s="21">
        <f>Table4[[#This Row],[Selling Price]]-Table_supermarket_sales___Sheet1[[#This Row],[Cost Price]]</f>
        <v>4.9109999999999978</v>
      </c>
    </row>
    <row r="924" spans="1:4" x14ac:dyDescent="0.35">
      <c r="A924" t="s">
        <v>1</v>
      </c>
      <c r="B924" s="20">
        <f>Table_supermarket_sales___Sheet1[[#This Row],[Cost Price]]+Table57[[#This Row],[Markup Cost]]</f>
        <v>14.003</v>
      </c>
      <c r="C924">
        <v>8</v>
      </c>
      <c r="D924" s="21">
        <f>Table4[[#This Row],[Selling Price]]-Table_supermarket_sales___Sheet1[[#This Row],[Cost Price]]</f>
        <v>1.2729999999999997</v>
      </c>
    </row>
    <row r="925" spans="1:4" x14ac:dyDescent="0.35">
      <c r="A925" t="s">
        <v>4</v>
      </c>
      <c r="B925" s="20">
        <f>Table_supermarket_sales___Sheet1[[#This Row],[Cost Price]]+Table57[[#This Row],[Markup Cost]]</f>
        <v>112.239</v>
      </c>
      <c r="C925">
        <v>5</v>
      </c>
      <c r="D925" s="21">
        <f>Table4[[#This Row],[Selling Price]]-Table_supermarket_sales___Sheet1[[#This Row],[Cost Price]]</f>
        <v>29.099000000000004</v>
      </c>
    </row>
    <row r="926" spans="1:4" x14ac:dyDescent="0.35">
      <c r="A926" t="s">
        <v>5</v>
      </c>
      <c r="B926" s="20">
        <f>Table_supermarket_sales___Sheet1[[#This Row],[Cost Price]]+Table57[[#This Row],[Markup Cost]]</f>
        <v>45.786000000000001</v>
      </c>
      <c r="C926">
        <v>4</v>
      </c>
      <c r="D926" s="21">
        <f>Table4[[#This Row],[Selling Price]]-Table_supermarket_sales___Sheet1[[#This Row],[Cost Price]]</f>
        <v>10.566000000000003</v>
      </c>
    </row>
    <row r="927" spans="1:4" x14ac:dyDescent="0.35">
      <c r="A927" t="s">
        <v>3</v>
      </c>
      <c r="B927" s="20">
        <f>Table_supermarket_sales___Sheet1[[#This Row],[Cost Price]]+Table57[[#This Row],[Markup Cost]]</f>
        <v>16.535999999999998</v>
      </c>
      <c r="C927">
        <v>1</v>
      </c>
      <c r="D927" s="21">
        <f>Table4[[#This Row],[Selling Price]]-Table_supermarket_sales___Sheet1[[#This Row],[Cost Price]]</f>
        <v>2.7559999999999985</v>
      </c>
    </row>
    <row r="928" spans="1:4" x14ac:dyDescent="0.35">
      <c r="A928" t="s">
        <v>5</v>
      </c>
      <c r="B928" s="20">
        <f>Table_supermarket_sales___Sheet1[[#This Row],[Cost Price]]+Table57[[#This Row],[Markup Cost]]</f>
        <v>92.725499999999997</v>
      </c>
      <c r="C928">
        <v>2</v>
      </c>
      <c r="D928" s="21">
        <f>Table4[[#This Row],[Selling Price]]-Table_supermarket_sales___Sheet1[[#This Row],[Cost Price]]</f>
        <v>4.4154999999999944</v>
      </c>
    </row>
    <row r="929" spans="1:4" x14ac:dyDescent="0.35">
      <c r="A929" t="s">
        <v>5</v>
      </c>
      <c r="B929" s="20">
        <f>Table_supermarket_sales___Sheet1[[#This Row],[Cost Price]]+Table57[[#This Row],[Markup Cost]]</f>
        <v>57.448999999999998</v>
      </c>
      <c r="C929">
        <v>3</v>
      </c>
      <c r="D929" s="21">
        <f>Table4[[#This Row],[Selling Price]]-Table_supermarket_sales___Sheet1[[#This Row],[Cost Price]]</f>
        <v>17.829000000000001</v>
      </c>
    </row>
    <row r="930" spans="1:4" x14ac:dyDescent="0.35">
      <c r="A930" t="s">
        <v>6</v>
      </c>
      <c r="B930" s="20">
        <f>Table_supermarket_sales___Sheet1[[#This Row],[Cost Price]]+Table57[[#This Row],[Markup Cost]]</f>
        <v>127.96250000000001</v>
      </c>
      <c r="C930">
        <v>7</v>
      </c>
      <c r="D930" s="21">
        <f>Table4[[#This Row],[Selling Price]]-Table_supermarket_sales___Sheet1[[#This Row],[Cost Price]]</f>
        <v>39.712500000000006</v>
      </c>
    </row>
    <row r="931" spans="1:4" x14ac:dyDescent="0.35">
      <c r="A931" t="s">
        <v>1</v>
      </c>
      <c r="B931" s="20">
        <f>Table_supermarket_sales___Sheet1[[#This Row],[Cost Price]]+Table57[[#This Row],[Markup Cost]]</f>
        <v>27.840999999999998</v>
      </c>
      <c r="C931">
        <v>5</v>
      </c>
      <c r="D931" s="21">
        <f>Table4[[#This Row],[Selling Price]]-Table_supermarket_sales___Sheet1[[#This Row],[Cost Price]]</f>
        <v>2.5309999999999988</v>
      </c>
    </row>
    <row r="932" spans="1:4" x14ac:dyDescent="0.35">
      <c r="A932" t="s">
        <v>4</v>
      </c>
      <c r="B932" s="20">
        <f>Table_supermarket_sales___Sheet1[[#This Row],[Cost Price]]+Table57[[#This Row],[Markup Cost]]</f>
        <v>129.89600000000002</v>
      </c>
      <c r="C932">
        <v>7</v>
      </c>
      <c r="D932" s="21">
        <f>Table4[[#This Row],[Selling Price]]-Table_supermarket_sales___Sheet1[[#This Row],[Cost Price]]</f>
        <v>29.976000000000013</v>
      </c>
    </row>
    <row r="933" spans="1:4" x14ac:dyDescent="0.35">
      <c r="A933" t="s">
        <v>4</v>
      </c>
      <c r="B933" s="20">
        <f>Table_supermarket_sales___Sheet1[[#This Row],[Cost Price]]+Table57[[#This Row],[Markup Cost]]</f>
        <v>91.685000000000002</v>
      </c>
      <c r="C933">
        <v>7</v>
      </c>
      <c r="D933" s="21">
        <f>Table4[[#This Row],[Selling Price]]-Table_supermarket_sales___Sheet1[[#This Row],[Cost Price]]</f>
        <v>8.335000000000008</v>
      </c>
    </row>
    <row r="934" spans="1:4" x14ac:dyDescent="0.35">
      <c r="A934" t="s">
        <v>6</v>
      </c>
      <c r="B934" s="20">
        <f>Table_supermarket_sales___Sheet1[[#This Row],[Cost Price]]+Table57[[#This Row],[Markup Cost]]</f>
        <v>111.66</v>
      </c>
      <c r="C934">
        <v>10</v>
      </c>
      <c r="D934" s="21">
        <f>Table4[[#This Row],[Selling Price]]-Table_supermarket_sales___Sheet1[[#This Row],[Cost Price]]</f>
        <v>37.22</v>
      </c>
    </row>
    <row r="935" spans="1:4" x14ac:dyDescent="0.35">
      <c r="A935" t="s">
        <v>2</v>
      </c>
      <c r="B935" s="20">
        <f>Table_supermarket_sales___Sheet1[[#This Row],[Cost Price]]+Table57[[#This Row],[Markup Cost]]</f>
        <v>86.507999999999996</v>
      </c>
      <c r="C935">
        <v>5</v>
      </c>
      <c r="D935" s="21">
        <f>Table4[[#This Row],[Selling Price]]-Table_supermarket_sales___Sheet1[[#This Row],[Cost Price]]</f>
        <v>22.427999999999997</v>
      </c>
    </row>
    <row r="936" spans="1:4" x14ac:dyDescent="0.35">
      <c r="A936" t="s">
        <v>4</v>
      </c>
      <c r="B936" s="20">
        <f>Table_supermarket_sales___Sheet1[[#This Row],[Cost Price]]+Table57[[#This Row],[Markup Cost]]</f>
        <v>82.094999999999999</v>
      </c>
      <c r="C936">
        <v>3</v>
      </c>
      <c r="D936" s="21">
        <f>Table4[[#This Row],[Selling Price]]-Table_supermarket_sales___Sheet1[[#This Row],[Cost Price]]</f>
        <v>18.945</v>
      </c>
    </row>
    <row r="937" spans="1:4" x14ac:dyDescent="0.35">
      <c r="A937" t="s">
        <v>5</v>
      </c>
      <c r="B937" s="20">
        <f>Table_supermarket_sales___Sheet1[[#This Row],[Cost Price]]+Table57[[#This Row],[Markup Cost]]</f>
        <v>98.578000000000003</v>
      </c>
      <c r="C937">
        <v>4</v>
      </c>
      <c r="D937" s="21">
        <f>Table4[[#This Row],[Selling Price]]-Table_supermarket_sales___Sheet1[[#This Row],[Cost Price]]</f>
        <v>12.858000000000004</v>
      </c>
    </row>
    <row r="938" spans="1:4" x14ac:dyDescent="0.35">
      <c r="A938" t="s">
        <v>3</v>
      </c>
      <c r="B938" s="20">
        <f>Table_supermarket_sales___Sheet1[[#This Row],[Cost Price]]+Table57[[#This Row],[Markup Cost]]</f>
        <v>106.50149999999999</v>
      </c>
      <c r="C938">
        <v>4</v>
      </c>
      <c r="D938" s="21">
        <f>Table4[[#This Row],[Selling Price]]-Table_supermarket_sales___Sheet1[[#This Row],[Cost Price]]</f>
        <v>27.611499999999992</v>
      </c>
    </row>
    <row r="939" spans="1:4" x14ac:dyDescent="0.35">
      <c r="A939" t="s">
        <v>2</v>
      </c>
      <c r="B939" s="20">
        <f>Table_supermarket_sales___Sheet1[[#This Row],[Cost Price]]+Table57[[#This Row],[Markup Cost]]</f>
        <v>111.85000000000001</v>
      </c>
      <c r="C939">
        <v>6</v>
      </c>
      <c r="D939" s="21">
        <f>Table4[[#This Row],[Selling Price]]-Table_supermarket_sales___Sheet1[[#This Row],[Cost Price]]</f>
        <v>22.370000000000005</v>
      </c>
    </row>
    <row r="940" spans="1:4" x14ac:dyDescent="0.35">
      <c r="A940" t="s">
        <v>1</v>
      </c>
      <c r="B940" s="20">
        <f>Table_supermarket_sales___Sheet1[[#This Row],[Cost Price]]+Table57[[#This Row],[Markup Cost]]</f>
        <v>105.90350000000001</v>
      </c>
      <c r="C940">
        <v>7</v>
      </c>
      <c r="D940" s="21">
        <f>Table4[[#This Row],[Selling Price]]-Table_supermarket_sales___Sheet1[[#This Row],[Cost Price]]</f>
        <v>13.813500000000005</v>
      </c>
    </row>
    <row r="941" spans="1:4" x14ac:dyDescent="0.35">
      <c r="A941" t="s">
        <v>6</v>
      </c>
      <c r="B941" s="20">
        <f>Table_supermarket_sales___Sheet1[[#This Row],[Cost Price]]+Table57[[#This Row],[Markup Cost]]</f>
        <v>74.477000000000004</v>
      </c>
      <c r="C941">
        <v>1</v>
      </c>
      <c r="D941" s="21">
        <f>Table4[[#This Row],[Selling Price]]-Table_supermarket_sales___Sheet1[[#This Row],[Cost Price]]</f>
        <v>17.187000000000005</v>
      </c>
    </row>
    <row r="942" spans="1:4" x14ac:dyDescent="0.35">
      <c r="A942" t="s">
        <v>5</v>
      </c>
      <c r="B942" s="20">
        <f>Table_supermarket_sales___Sheet1[[#This Row],[Cost Price]]+Table57[[#This Row],[Markup Cost]]</f>
        <v>79.823999999999998</v>
      </c>
      <c r="C942">
        <v>5</v>
      </c>
      <c r="D942" s="21">
        <f>Table4[[#This Row],[Selling Price]]-Table_supermarket_sales___Sheet1[[#This Row],[Cost Price]]</f>
        <v>13.304000000000002</v>
      </c>
    </row>
    <row r="943" spans="1:4" x14ac:dyDescent="0.35">
      <c r="A943" t="s">
        <v>1</v>
      </c>
      <c r="B943" s="20">
        <f>Table_supermarket_sales___Sheet1[[#This Row],[Cost Price]]+Table57[[#This Row],[Markup Cost]]</f>
        <v>144.73899999999998</v>
      </c>
      <c r="C943">
        <v>9</v>
      </c>
      <c r="D943" s="21">
        <f>Table4[[#This Row],[Selling Price]]-Table_supermarket_sales___Sheet1[[#This Row],[Cost Price]]</f>
        <v>44.918999999999983</v>
      </c>
    </row>
    <row r="944" spans="1:4" x14ac:dyDescent="0.35">
      <c r="A944" t="s">
        <v>1</v>
      </c>
      <c r="B944" s="20">
        <f>Table_supermarket_sales___Sheet1[[#This Row],[Cost Price]]+Table57[[#This Row],[Markup Cost]]</f>
        <v>68.52</v>
      </c>
      <c r="C944">
        <v>9</v>
      </c>
      <c r="D944" s="21">
        <f>Table4[[#This Row],[Selling Price]]-Table_supermarket_sales___Sheet1[[#This Row],[Cost Price]]</f>
        <v>22.839999999999996</v>
      </c>
    </row>
    <row r="945" spans="1:4" x14ac:dyDescent="0.35">
      <c r="A945" t="s">
        <v>2</v>
      </c>
      <c r="B945" s="20">
        <f>Table_supermarket_sales___Sheet1[[#This Row],[Cost Price]]+Table57[[#This Row],[Markup Cost]]</f>
        <v>63.487499999999997</v>
      </c>
      <c r="C945">
        <v>10</v>
      </c>
      <c r="D945" s="21">
        <f>Table4[[#This Row],[Selling Price]]-Table_supermarket_sales___Sheet1[[#This Row],[Cost Price]]</f>
        <v>12.697499999999998</v>
      </c>
    </row>
    <row r="946" spans="1:4" x14ac:dyDescent="0.35">
      <c r="A946" t="s">
        <v>6</v>
      </c>
      <c r="B946" s="20">
        <f>Table_supermarket_sales___Sheet1[[#This Row],[Cost Price]]+Table57[[#This Row],[Markup Cost]]</f>
        <v>13.608000000000001</v>
      </c>
      <c r="C946">
        <v>3</v>
      </c>
      <c r="D946" s="21">
        <f>Table4[[#This Row],[Selling Price]]-Table_supermarket_sales___Sheet1[[#This Row],[Cost Price]]</f>
        <v>3.5280000000000005</v>
      </c>
    </row>
    <row r="947" spans="1:4" x14ac:dyDescent="0.35">
      <c r="A947" t="s">
        <v>5</v>
      </c>
      <c r="B947" s="20">
        <f>Table_supermarket_sales___Sheet1[[#This Row],[Cost Price]]+Table57[[#This Row],[Markup Cost]]</f>
        <v>126.738</v>
      </c>
      <c r="C947">
        <v>8</v>
      </c>
      <c r="D947" s="21">
        <f>Table4[[#This Row],[Selling Price]]-Table_supermarket_sales___Sheet1[[#This Row],[Cost Price]]</f>
        <v>32.858000000000004</v>
      </c>
    </row>
    <row r="948" spans="1:4" x14ac:dyDescent="0.35">
      <c r="A948" t="s">
        <v>6</v>
      </c>
      <c r="B948" s="20">
        <f>Table_supermarket_sales___Sheet1[[#This Row],[Cost Price]]+Table57[[#This Row],[Markup Cost]]</f>
        <v>92.674999999999997</v>
      </c>
      <c r="C948">
        <v>4</v>
      </c>
      <c r="D948" s="21">
        <f>Table4[[#This Row],[Selling Price]]-Table_supermarket_sales___Sheet1[[#This Row],[Cost Price]]</f>
        <v>8.4249999999999972</v>
      </c>
    </row>
    <row r="949" spans="1:4" x14ac:dyDescent="0.35">
      <c r="A949" t="s">
        <v>5</v>
      </c>
      <c r="B949" s="20">
        <f>Table_supermarket_sales___Sheet1[[#This Row],[Cost Price]]+Table57[[#This Row],[Markup Cost]]</f>
        <v>56.469000000000001</v>
      </c>
      <c r="C949">
        <v>8</v>
      </c>
      <c r="D949" s="21">
        <f>Table4[[#This Row],[Selling Price]]-Table_supermarket_sales___Sheet1[[#This Row],[Cost Price]]</f>
        <v>2.6890000000000001</v>
      </c>
    </row>
    <row r="950" spans="1:4" x14ac:dyDescent="0.35">
      <c r="A950" t="s">
        <v>5</v>
      </c>
      <c r="B950" s="20">
        <f>Table_supermarket_sales___Sheet1[[#This Row],[Cost Price]]+Table57[[#This Row],[Markup Cost]]</f>
        <v>44.762500000000003</v>
      </c>
      <c r="C950">
        <v>5</v>
      </c>
      <c r="D950" s="21">
        <f>Table4[[#This Row],[Selling Price]]-Table_supermarket_sales___Sheet1[[#This Row],[Cost Price]]</f>
        <v>8.9525000000000006</v>
      </c>
    </row>
    <row r="951" spans="1:4" x14ac:dyDescent="0.35">
      <c r="A951" t="s">
        <v>1</v>
      </c>
      <c r="B951" s="20">
        <f>Table_supermarket_sales___Sheet1[[#This Row],[Cost Price]]+Table57[[#This Row],[Markup Cost]]</f>
        <v>37.001999999999995</v>
      </c>
      <c r="C951">
        <v>4</v>
      </c>
      <c r="D951" s="21">
        <f>Table4[[#This Row],[Selling Price]]-Table_supermarket_sales___Sheet1[[#This Row],[Cost Price]]</f>
        <v>10.571999999999996</v>
      </c>
    </row>
    <row r="952" spans="1:4" x14ac:dyDescent="0.35">
      <c r="A952" t="s">
        <v>2</v>
      </c>
      <c r="B952" s="20">
        <f>Table_supermarket_sales___Sheet1[[#This Row],[Cost Price]]+Table57[[#This Row],[Markup Cost]]</f>
        <v>45.896499999999996</v>
      </c>
      <c r="C952">
        <v>10</v>
      </c>
      <c r="D952" s="21">
        <f>Table4[[#This Row],[Selling Price]]-Table_supermarket_sales___Sheet1[[#This Row],[Cost Price]]</f>
        <v>5.9864999999999995</v>
      </c>
    </row>
    <row r="953" spans="1:4" x14ac:dyDescent="0.35">
      <c r="A953" t="s">
        <v>3</v>
      </c>
      <c r="B953" s="20">
        <f>Table_supermarket_sales___Sheet1[[#This Row],[Cost Price]]+Table57[[#This Row],[Markup Cost]]</f>
        <v>25.184999999999999</v>
      </c>
      <c r="C953">
        <v>5</v>
      </c>
      <c r="D953" s="21">
        <f>Table4[[#This Row],[Selling Price]]-Table_supermarket_sales___Sheet1[[#This Row],[Cost Price]]</f>
        <v>3.2850000000000001</v>
      </c>
    </row>
    <row r="954" spans="1:4" x14ac:dyDescent="0.35">
      <c r="A954" t="s">
        <v>1</v>
      </c>
      <c r="B954" s="20">
        <f>Table_supermarket_sales___Sheet1[[#This Row],[Cost Price]]+Table57[[#This Row],[Markup Cost]]</f>
        <v>75.42</v>
      </c>
      <c r="C954">
        <v>1</v>
      </c>
      <c r="D954" s="21">
        <f>Table4[[#This Row],[Selling Price]]-Table_supermarket_sales___Sheet1[[#This Row],[Cost Price]]</f>
        <v>12.57</v>
      </c>
    </row>
    <row r="955" spans="1:4" x14ac:dyDescent="0.35">
      <c r="A955" t="s">
        <v>4</v>
      </c>
      <c r="B955" s="20">
        <f>Table_supermarket_sales___Sheet1[[#This Row],[Cost Price]]+Table57[[#This Row],[Markup Cost]]</f>
        <v>25.247999999999998</v>
      </c>
      <c r="C955">
        <v>2</v>
      </c>
      <c r="D955" s="21">
        <f>Table4[[#This Row],[Selling Price]]-Table_supermarket_sales___Sheet1[[#This Row],[Cost Price]]</f>
        <v>4.2079999999999984</v>
      </c>
    </row>
    <row r="956" spans="1:4" x14ac:dyDescent="0.35">
      <c r="A956" t="s">
        <v>4</v>
      </c>
      <c r="B956" s="20">
        <f>Table_supermarket_sales___Sheet1[[#This Row],[Cost Price]]+Table57[[#This Row],[Markup Cost]]</f>
        <v>85.682999999999993</v>
      </c>
      <c r="C956">
        <v>6</v>
      </c>
      <c r="D956" s="21">
        <f>Table4[[#This Row],[Selling Price]]-Table_supermarket_sales___Sheet1[[#This Row],[Cost Price]]</f>
        <v>19.772999999999996</v>
      </c>
    </row>
    <row r="957" spans="1:4" x14ac:dyDescent="0.35">
      <c r="A957" t="s">
        <v>5</v>
      </c>
      <c r="B957" s="20">
        <f>Table_supermarket_sales___Sheet1[[#This Row],[Cost Price]]+Table57[[#This Row],[Markup Cost]]</f>
        <v>57.469499999999996</v>
      </c>
      <c r="C957">
        <v>5</v>
      </c>
      <c r="D957" s="21">
        <f>Table4[[#This Row],[Selling Price]]-Table_supermarket_sales___Sheet1[[#This Row],[Cost Price]]</f>
        <v>14.899499999999996</v>
      </c>
    </row>
    <row r="958" spans="1:4" x14ac:dyDescent="0.35">
      <c r="A958" t="s">
        <v>1</v>
      </c>
      <c r="B958" s="20">
        <f>Table_supermarket_sales___Sheet1[[#This Row],[Cost Price]]+Table57[[#This Row],[Markup Cost]]</f>
        <v>73.210499999999996</v>
      </c>
      <c r="C958">
        <v>10</v>
      </c>
      <c r="D958" s="21">
        <f>Table4[[#This Row],[Selling Price]]-Table_supermarket_sales___Sheet1[[#This Row],[Cost Price]]</f>
        <v>22.720499999999994</v>
      </c>
    </row>
    <row r="959" spans="1:4" x14ac:dyDescent="0.35">
      <c r="A959" t="s">
        <v>3</v>
      </c>
      <c r="B959" s="20">
        <f>Table_supermarket_sales___Sheet1[[#This Row],[Cost Price]]+Table57[[#This Row],[Markup Cost]]</f>
        <v>59.826000000000001</v>
      </c>
      <c r="C959">
        <v>10</v>
      </c>
      <c r="D959" s="21">
        <f>Table4[[#This Row],[Selling Price]]-Table_supermarket_sales___Sheet1[[#This Row],[Cost Price]]</f>
        <v>13.805999999999997</v>
      </c>
    </row>
    <row r="960" spans="1:4" x14ac:dyDescent="0.35">
      <c r="A960" t="s">
        <v>5</v>
      </c>
      <c r="B960" s="20">
        <f>Table_supermarket_sales___Sheet1[[#This Row],[Cost Price]]+Table57[[#This Row],[Markup Cost]]</f>
        <v>23.700000000000003</v>
      </c>
      <c r="C960">
        <v>2</v>
      </c>
      <c r="D960" s="21">
        <f>Table4[[#This Row],[Selling Price]]-Table_supermarket_sales___Sheet1[[#This Row],[Cost Price]]</f>
        <v>7.9000000000000021</v>
      </c>
    </row>
    <row r="961" spans="1:4" x14ac:dyDescent="0.35">
      <c r="A961" t="s">
        <v>4</v>
      </c>
      <c r="B961" s="20">
        <f>Table_supermarket_sales___Sheet1[[#This Row],[Cost Price]]+Table57[[#This Row],[Markup Cost]]</f>
        <v>143.05699999999999</v>
      </c>
      <c r="C961">
        <v>8</v>
      </c>
      <c r="D961" s="21">
        <f>Table4[[#This Row],[Selling Price]]-Table_supermarket_sales___Sheet1[[#This Row],[Cost Price]]</f>
        <v>44.396999999999991</v>
      </c>
    </row>
    <row r="962" spans="1:4" x14ac:dyDescent="0.35">
      <c r="A962" t="s">
        <v>2</v>
      </c>
      <c r="B962" s="20">
        <f>Table_supermarket_sales___Sheet1[[#This Row],[Cost Price]]+Table57[[#This Row],[Markup Cost]]</f>
        <v>96.579000000000008</v>
      </c>
      <c r="C962">
        <v>6</v>
      </c>
      <c r="D962" s="21">
        <f>Table4[[#This Row],[Selling Price]]-Table_supermarket_sales___Sheet1[[#This Row],[Cost Price]]</f>
        <v>4.5990000000000038</v>
      </c>
    </row>
    <row r="963" spans="1:4" x14ac:dyDescent="0.35">
      <c r="A963" t="s">
        <v>6</v>
      </c>
      <c r="B963" s="20">
        <f>Table_supermarket_sales___Sheet1[[#This Row],[Cost Price]]+Table57[[#This Row],[Markup Cost]]</f>
        <v>22.978999999999999</v>
      </c>
      <c r="C963">
        <v>5</v>
      </c>
      <c r="D963" s="21">
        <f>Table4[[#This Row],[Selling Price]]-Table_supermarket_sales___Sheet1[[#This Row],[Cost Price]]</f>
        <v>2.0889999999999986</v>
      </c>
    </row>
    <row r="964" spans="1:4" x14ac:dyDescent="0.35">
      <c r="A964" t="s">
        <v>6</v>
      </c>
      <c r="B964" s="20">
        <f>Table_supermarket_sales___Sheet1[[#This Row],[Cost Price]]+Table57[[#This Row],[Markup Cost]]</f>
        <v>16.274999999999999</v>
      </c>
      <c r="C964">
        <v>8</v>
      </c>
      <c r="D964" s="21">
        <f>Table4[[#This Row],[Selling Price]]-Table_supermarket_sales___Sheet1[[#This Row],[Cost Price]]</f>
        <v>0.77499999999999858</v>
      </c>
    </row>
    <row r="965" spans="1:4" x14ac:dyDescent="0.35">
      <c r="A965" t="s">
        <v>6</v>
      </c>
      <c r="B965" s="20">
        <f>Table_supermarket_sales___Sheet1[[#This Row],[Cost Price]]+Table57[[#This Row],[Markup Cost]]</f>
        <v>111.34299999999999</v>
      </c>
      <c r="C965">
        <v>10</v>
      </c>
      <c r="D965" s="21">
        <f>Table4[[#This Row],[Selling Price]]-Table_supermarket_sales___Sheet1[[#This Row],[Cost Price]]</f>
        <v>14.522999999999996</v>
      </c>
    </row>
    <row r="966" spans="1:4" x14ac:dyDescent="0.35">
      <c r="A966" t="s">
        <v>4</v>
      </c>
      <c r="B966" s="20">
        <f>Table_supermarket_sales___Sheet1[[#This Row],[Cost Price]]+Table57[[#This Row],[Markup Cost]]</f>
        <v>36.662999999999997</v>
      </c>
      <c r="C966">
        <v>8</v>
      </c>
      <c r="D966" s="21">
        <f>Table4[[#This Row],[Selling Price]]-Table_supermarket_sales___Sheet1[[#This Row],[Cost Price]]</f>
        <v>3.3329999999999984</v>
      </c>
    </row>
    <row r="967" spans="1:4" x14ac:dyDescent="0.35">
      <c r="A967" t="s">
        <v>2</v>
      </c>
      <c r="B967" s="20">
        <f>Table_supermarket_sales___Sheet1[[#This Row],[Cost Price]]+Table57[[#This Row],[Markup Cost]]</f>
        <v>42.097000000000001</v>
      </c>
      <c r="C967">
        <v>5</v>
      </c>
      <c r="D967" s="21">
        <f>Table4[[#This Row],[Selling Price]]-Table_supermarket_sales___Sheet1[[#This Row],[Cost Price]]</f>
        <v>3.8269999999999982</v>
      </c>
    </row>
    <row r="968" spans="1:4" x14ac:dyDescent="0.35">
      <c r="A968" t="s">
        <v>4</v>
      </c>
      <c r="B968" s="20">
        <f>Table_supermarket_sales___Sheet1[[#This Row],[Cost Price]]+Table57[[#This Row],[Markup Cost]]</f>
        <v>48.284999999999997</v>
      </c>
      <c r="C968">
        <v>3</v>
      </c>
      <c r="D968" s="21">
        <f>Table4[[#This Row],[Selling Price]]-Table_supermarket_sales___Sheet1[[#This Row],[Cost Price]]</f>
        <v>14.984999999999999</v>
      </c>
    </row>
    <row r="969" spans="1:4" x14ac:dyDescent="0.35">
      <c r="A969" t="s">
        <v>2</v>
      </c>
      <c r="B969" s="20">
        <f>Table_supermarket_sales___Sheet1[[#This Row],[Cost Price]]+Table57[[#This Row],[Markup Cost]]</f>
        <v>93.161500000000004</v>
      </c>
      <c r="C969">
        <v>8</v>
      </c>
      <c r="D969" s="21">
        <f>Table4[[#This Row],[Selling Price]]-Table_supermarket_sales___Sheet1[[#This Row],[Cost Price]]</f>
        <v>12.151499999999999</v>
      </c>
    </row>
    <row r="970" spans="1:4" x14ac:dyDescent="0.35">
      <c r="A970" t="s">
        <v>6</v>
      </c>
      <c r="B970" s="20">
        <f>Table_supermarket_sales___Sheet1[[#This Row],[Cost Price]]+Table57[[#This Row],[Markup Cost]]</f>
        <v>18.170000000000002</v>
      </c>
      <c r="C970">
        <v>5</v>
      </c>
      <c r="D970" s="21">
        <f>Table4[[#This Row],[Selling Price]]-Table_supermarket_sales___Sheet1[[#This Row],[Cost Price]]</f>
        <v>2.370000000000001</v>
      </c>
    </row>
    <row r="971" spans="1:4" x14ac:dyDescent="0.35">
      <c r="A971" t="s">
        <v>6</v>
      </c>
      <c r="B971" s="20">
        <f>Table_supermarket_sales___Sheet1[[#This Row],[Cost Price]]+Table57[[#This Row],[Markup Cost]]</f>
        <v>43.112500000000004</v>
      </c>
      <c r="C971">
        <v>4</v>
      </c>
      <c r="D971" s="21">
        <f>Table4[[#This Row],[Selling Price]]-Table_supermarket_sales___Sheet1[[#This Row],[Cost Price]]</f>
        <v>8.6225000000000023</v>
      </c>
    </row>
    <row r="972" spans="1:4" x14ac:dyDescent="0.35">
      <c r="A972" t="s">
        <v>6</v>
      </c>
      <c r="B972" s="20">
        <f>Table_supermarket_sales___Sheet1[[#This Row],[Cost Price]]+Table57[[#This Row],[Markup Cost]]</f>
        <v>126.94499999999999</v>
      </c>
      <c r="C972">
        <v>7</v>
      </c>
      <c r="D972" s="21">
        <f>Table4[[#This Row],[Selling Price]]-Table_supermarket_sales___Sheet1[[#This Row],[Cost Price]]</f>
        <v>42.314999999999998</v>
      </c>
    </row>
    <row r="973" spans="1:4" x14ac:dyDescent="0.35">
      <c r="A973" t="s">
        <v>2</v>
      </c>
      <c r="B973" s="20">
        <f>Table_supermarket_sales___Sheet1[[#This Row],[Cost Price]]+Table57[[#This Row],[Markup Cost]]</f>
        <v>49.828499999999998</v>
      </c>
      <c r="C973">
        <v>2</v>
      </c>
      <c r="D973" s="21">
        <f>Table4[[#This Row],[Selling Price]]-Table_supermarket_sales___Sheet1[[#This Row],[Cost Price]]</f>
        <v>12.918500000000002</v>
      </c>
    </row>
    <row r="974" spans="1:4" x14ac:dyDescent="0.35">
      <c r="A974" t="s">
        <v>5</v>
      </c>
      <c r="B974" s="20">
        <f>Table_supermarket_sales___Sheet1[[#This Row],[Cost Price]]+Table57[[#This Row],[Markup Cost]]</f>
        <v>117.55799999999999</v>
      </c>
      <c r="C974">
        <v>8</v>
      </c>
      <c r="D974" s="21">
        <f>Table4[[#This Row],[Selling Price]]-Table_supermarket_sales___Sheet1[[#This Row],[Cost Price]]</f>
        <v>30.477999999999994</v>
      </c>
    </row>
    <row r="975" spans="1:4" x14ac:dyDescent="0.35">
      <c r="A975" t="s">
        <v>2</v>
      </c>
      <c r="B975" s="20">
        <f>Table_supermarket_sales___Sheet1[[#This Row],[Cost Price]]+Table57[[#This Row],[Markup Cost]]</f>
        <v>92.091999999999999</v>
      </c>
      <c r="C975">
        <v>3</v>
      </c>
      <c r="D975" s="21">
        <f>Table4[[#This Row],[Selling Price]]-Table_supermarket_sales___Sheet1[[#This Row],[Cost Price]]</f>
        <v>12.012</v>
      </c>
    </row>
    <row r="976" spans="1:4" x14ac:dyDescent="0.35">
      <c r="A976" t="s">
        <v>6</v>
      </c>
      <c r="B976" s="20">
        <f>Table_supermarket_sales___Sheet1[[#This Row],[Cost Price]]+Table57[[#This Row],[Markup Cost]]</f>
        <v>94.742999999999995</v>
      </c>
      <c r="C976">
        <v>1</v>
      </c>
      <c r="D976" s="21">
        <f>Table4[[#This Row],[Selling Price]]-Table_supermarket_sales___Sheet1[[#This Row],[Cost Price]]</f>
        <v>8.6129999999999995</v>
      </c>
    </row>
    <row r="977" spans="1:4" x14ac:dyDescent="0.35">
      <c r="A977" t="s">
        <v>2</v>
      </c>
      <c r="B977" s="20">
        <f>Table_supermarket_sales___Sheet1[[#This Row],[Cost Price]]+Table57[[#This Row],[Markup Cost]]</f>
        <v>54.911999999999999</v>
      </c>
      <c r="C977">
        <v>8</v>
      </c>
      <c r="D977" s="21">
        <f>Table4[[#This Row],[Selling Price]]-Table_supermarket_sales___Sheet1[[#This Row],[Cost Price]]</f>
        <v>4.9919999999999973</v>
      </c>
    </row>
    <row r="978" spans="1:4" x14ac:dyDescent="0.35">
      <c r="A978" t="s">
        <v>1</v>
      </c>
      <c r="B978" s="20">
        <f>Table_supermarket_sales___Sheet1[[#This Row],[Cost Price]]+Table57[[#This Row],[Markup Cost]]</f>
        <v>89.591999999999999</v>
      </c>
      <c r="C978">
        <v>5</v>
      </c>
      <c r="D978" s="21">
        <f>Table4[[#This Row],[Selling Price]]-Table_supermarket_sales___Sheet1[[#This Row],[Cost Price]]</f>
        <v>14.932000000000002</v>
      </c>
    </row>
    <row r="979" spans="1:4" x14ac:dyDescent="0.35">
      <c r="A979" t="s">
        <v>6</v>
      </c>
      <c r="B979" s="20">
        <f>Table_supermarket_sales___Sheet1[[#This Row],[Cost Price]]+Table57[[#This Row],[Markup Cost]]</f>
        <v>34.58</v>
      </c>
      <c r="C979">
        <v>8</v>
      </c>
      <c r="D979" s="21">
        <f>Table4[[#This Row],[Selling Price]]-Table_supermarket_sales___Sheet1[[#This Row],[Cost Price]]</f>
        <v>7.9799999999999969</v>
      </c>
    </row>
    <row r="980" spans="1:4" x14ac:dyDescent="0.35">
      <c r="A980" t="s">
        <v>3</v>
      </c>
      <c r="B980" s="20">
        <f>Table_supermarket_sales___Sheet1[[#This Row],[Cost Price]]+Table57[[#This Row],[Markup Cost]]</f>
        <v>26.7225</v>
      </c>
      <c r="C980">
        <v>2</v>
      </c>
      <c r="D980" s="21">
        <f>Table4[[#This Row],[Selling Price]]-Table_supermarket_sales___Sheet1[[#This Row],[Cost Price]]</f>
        <v>1.2725000000000009</v>
      </c>
    </row>
    <row r="981" spans="1:4" x14ac:dyDescent="0.35">
      <c r="A981" t="s">
        <v>5</v>
      </c>
      <c r="B981" s="20">
        <f>Table_supermarket_sales___Sheet1[[#This Row],[Cost Price]]+Table57[[#This Row],[Markup Cost]]</f>
        <v>71.158499999999989</v>
      </c>
      <c r="C981">
        <v>5</v>
      </c>
      <c r="D981" s="21">
        <f>Table4[[#This Row],[Selling Price]]-Table_supermarket_sales___Sheet1[[#This Row],[Cost Price]]</f>
        <v>3.3884999999999934</v>
      </c>
    </row>
    <row r="982" spans="1:4" x14ac:dyDescent="0.35">
      <c r="A982" t="s">
        <v>4</v>
      </c>
      <c r="B982" s="20">
        <f>Table_supermarket_sales___Sheet1[[#This Row],[Cost Price]]+Table57[[#This Row],[Markup Cost]]</f>
        <v>71.50800000000001</v>
      </c>
      <c r="C982">
        <v>4</v>
      </c>
      <c r="D982" s="21">
        <f>Table4[[#This Row],[Selling Price]]-Table_supermarket_sales___Sheet1[[#This Row],[Cost Price]]</f>
        <v>11.918000000000006</v>
      </c>
    </row>
    <row r="983" spans="1:4" x14ac:dyDescent="0.35">
      <c r="A983" t="s">
        <v>4</v>
      </c>
      <c r="B983" s="20">
        <f>Table_supermarket_sales___Sheet1[[#This Row],[Cost Price]]+Table57[[#This Row],[Markup Cost]]</f>
        <v>69.78</v>
      </c>
      <c r="C983">
        <v>5</v>
      </c>
      <c r="D983" s="21">
        <f>Table4[[#This Row],[Selling Price]]-Table_supermarket_sales___Sheet1[[#This Row],[Cost Price]]</f>
        <v>11.630000000000003</v>
      </c>
    </row>
    <row r="984" spans="1:4" x14ac:dyDescent="0.35">
      <c r="A984" t="s">
        <v>5</v>
      </c>
      <c r="B984" s="20">
        <f>Table_supermarket_sales___Sheet1[[#This Row],[Cost Price]]+Table57[[#This Row],[Markup Cost]]</f>
        <v>141.346</v>
      </c>
      <c r="C984">
        <v>6</v>
      </c>
      <c r="D984" s="21">
        <f>Table4[[#This Row],[Selling Price]]-Table_supermarket_sales___Sheet1[[#This Row],[Cost Price]]</f>
        <v>43.866</v>
      </c>
    </row>
    <row r="985" spans="1:4" x14ac:dyDescent="0.35">
      <c r="A985" t="s">
        <v>2</v>
      </c>
      <c r="B985" s="20">
        <f>Table_supermarket_sales___Sheet1[[#This Row],[Cost Price]]+Table57[[#This Row],[Markup Cost]]</f>
        <v>134.946</v>
      </c>
      <c r="C985">
        <v>6</v>
      </c>
      <c r="D985" s="21">
        <f>Table4[[#This Row],[Selling Price]]-Table_supermarket_sales___Sheet1[[#This Row],[Cost Price]]</f>
        <v>34.986000000000004</v>
      </c>
    </row>
    <row r="986" spans="1:4" x14ac:dyDescent="0.35">
      <c r="A986" t="s">
        <v>4</v>
      </c>
      <c r="B986" s="20">
        <f>Table_supermarket_sales___Sheet1[[#This Row],[Cost Price]]+Table57[[#This Row],[Markup Cost]]</f>
        <v>130.09950000000001</v>
      </c>
      <c r="C986">
        <v>6</v>
      </c>
      <c r="D986" s="21">
        <f>Table4[[#This Row],[Selling Price]]-Table_supermarket_sales___Sheet1[[#This Row],[Cost Price]]</f>
        <v>33.729500000000002</v>
      </c>
    </row>
    <row r="987" spans="1:4" x14ac:dyDescent="0.35">
      <c r="A987" t="s">
        <v>1</v>
      </c>
      <c r="B987" s="20">
        <f>Table_supermarket_sales___Sheet1[[#This Row],[Cost Price]]+Table57[[#This Row],[Markup Cost]]</f>
        <v>79.637500000000003</v>
      </c>
      <c r="C987">
        <v>7</v>
      </c>
      <c r="D987" s="21">
        <f>Table4[[#This Row],[Selling Price]]-Table_supermarket_sales___Sheet1[[#This Row],[Cost Price]]</f>
        <v>15.927500000000002</v>
      </c>
    </row>
    <row r="988" spans="1:4" x14ac:dyDescent="0.35">
      <c r="A988" t="s">
        <v>2</v>
      </c>
      <c r="B988" s="20">
        <f>Table_supermarket_sales___Sheet1[[#This Row],[Cost Price]]+Table57[[#This Row],[Markup Cost]]</f>
        <v>16.236000000000001</v>
      </c>
      <c r="C988">
        <v>3</v>
      </c>
      <c r="D988" s="21">
        <f>Table4[[#This Row],[Selling Price]]-Table_supermarket_sales___Sheet1[[#This Row],[Cost Price]]</f>
        <v>1.4760000000000009</v>
      </c>
    </row>
    <row r="989" spans="1:4" x14ac:dyDescent="0.35">
      <c r="A989" t="s">
        <v>6</v>
      </c>
      <c r="B989" s="20">
        <f>Table_supermarket_sales___Sheet1[[#This Row],[Cost Price]]+Table57[[#This Row],[Markup Cost]]</f>
        <v>86.8</v>
      </c>
      <c r="C989">
        <v>7</v>
      </c>
      <c r="D989" s="21">
        <f>Table4[[#This Row],[Selling Price]]-Table_supermarket_sales___Sheet1[[#This Row],[Cost Price]]</f>
        <v>24.799999999999997</v>
      </c>
    </row>
    <row r="990" spans="1:4" x14ac:dyDescent="0.35">
      <c r="A990" t="s">
        <v>3</v>
      </c>
      <c r="B990" s="20">
        <f>Table_supermarket_sales___Sheet1[[#This Row],[Cost Price]]+Table57[[#This Row],[Markup Cost]]</f>
        <v>123.51</v>
      </c>
      <c r="C990">
        <v>6</v>
      </c>
      <c r="D990" s="21">
        <f>Table4[[#This Row],[Selling Price]]-Table_supermarket_sales___Sheet1[[#This Row],[Cost Price]]</f>
        <v>41.17</v>
      </c>
    </row>
    <row r="991" spans="1:4" x14ac:dyDescent="0.35">
      <c r="A991" t="s">
        <v>1</v>
      </c>
      <c r="B991" s="20">
        <f>Table_supermarket_sales___Sheet1[[#This Row],[Cost Price]]+Table57[[#This Row],[Markup Cost]]</f>
        <v>105.518</v>
      </c>
      <c r="C991">
        <v>4</v>
      </c>
      <c r="D991" s="21">
        <f>Table4[[#This Row],[Selling Price]]-Table_supermarket_sales___Sheet1[[#This Row],[Cost Price]]</f>
        <v>30.147999999999996</v>
      </c>
    </row>
    <row r="992" spans="1:4" x14ac:dyDescent="0.35">
      <c r="A992" t="s">
        <v>5</v>
      </c>
      <c r="B992" s="20">
        <f>Table_supermarket_sales___Sheet1[[#This Row],[Cost Price]]+Table57[[#This Row],[Markup Cost]]</f>
        <v>70.7</v>
      </c>
      <c r="C992">
        <v>9</v>
      </c>
      <c r="D992" s="21">
        <f>Table4[[#This Row],[Selling Price]]-Table_supermarket_sales___Sheet1[[#This Row],[Cost Price]]</f>
        <v>14.14</v>
      </c>
    </row>
    <row r="993" spans="1:4" x14ac:dyDescent="0.35">
      <c r="A993" t="s">
        <v>3</v>
      </c>
      <c r="B993" s="20">
        <f>Table_supermarket_sales___Sheet1[[#This Row],[Cost Price]]+Table57[[#This Row],[Markup Cost]]</f>
        <v>114.89999999999999</v>
      </c>
      <c r="C993">
        <v>5</v>
      </c>
      <c r="D993" s="21">
        <f>Table4[[#This Row],[Selling Price]]-Table_supermarket_sales___Sheet1[[#This Row],[Cost Price]]</f>
        <v>38.299999999999997</v>
      </c>
    </row>
    <row r="994" spans="1:4" x14ac:dyDescent="0.35">
      <c r="A994" t="s">
        <v>6</v>
      </c>
      <c r="B994" s="20">
        <f>Table_supermarket_sales___Sheet1[[#This Row],[Cost Price]]+Table57[[#This Row],[Markup Cost]]</f>
        <v>63.832999999999998</v>
      </c>
      <c r="C994">
        <v>1</v>
      </c>
      <c r="D994" s="21">
        <f>Table4[[#This Row],[Selling Price]]-Table_supermarket_sales___Sheet1[[#This Row],[Cost Price]]</f>
        <v>5.8029999999999973</v>
      </c>
    </row>
    <row r="995" spans="1:4" x14ac:dyDescent="0.35">
      <c r="A995" t="s">
        <v>6</v>
      </c>
      <c r="B995" s="20">
        <f>Table_supermarket_sales___Sheet1[[#This Row],[Cost Price]]+Table57[[#This Row],[Markup Cost]]</f>
        <v>26.234999999999999</v>
      </c>
      <c r="C995">
        <v>5</v>
      </c>
      <c r="D995" s="21">
        <f>Table4[[#This Row],[Selling Price]]-Table_supermarket_sales___Sheet1[[#This Row],[Cost Price]]</f>
        <v>8.745000000000001</v>
      </c>
    </row>
    <row r="996" spans="1:4" x14ac:dyDescent="0.35">
      <c r="A996" t="s">
        <v>4</v>
      </c>
      <c r="B996" s="20">
        <f>Table_supermarket_sales___Sheet1[[#This Row],[Cost Price]]+Table57[[#This Row],[Markup Cost]]</f>
        <v>63.997500000000002</v>
      </c>
      <c r="C996">
        <v>10</v>
      </c>
      <c r="D996" s="21">
        <f>Table4[[#This Row],[Selling Price]]-Table_supermarket_sales___Sheet1[[#This Row],[Cost Price]]</f>
        <v>3.0474999999999994</v>
      </c>
    </row>
    <row r="997" spans="1:4" x14ac:dyDescent="0.35">
      <c r="A997" t="s">
        <v>2</v>
      </c>
      <c r="B997" s="20">
        <f>Table_supermarket_sales___Sheet1[[#This Row],[Cost Price]]+Table57[[#This Row],[Markup Cost]]</f>
        <v>42.3675</v>
      </c>
      <c r="C997">
        <v>10</v>
      </c>
      <c r="D997" s="21">
        <f>Table4[[#This Row],[Selling Price]]-Table_supermarket_sales___Sheet1[[#This Row],[Cost Price]]</f>
        <v>2.0174999999999983</v>
      </c>
    </row>
    <row r="998" spans="1:4" x14ac:dyDescent="0.35">
      <c r="A998" t="s">
        <v>3</v>
      </c>
      <c r="B998" s="20">
        <f>Table_supermarket_sales___Sheet1[[#This Row],[Cost Price]]+Table57[[#This Row],[Markup Cost]]</f>
        <v>146.07</v>
      </c>
      <c r="C998">
        <v>4</v>
      </c>
      <c r="D998" s="21">
        <f>Table4[[#This Row],[Selling Price]]-Table_supermarket_sales___Sheet1[[#This Row],[Cost Price]]</f>
        <v>48.69</v>
      </c>
    </row>
    <row r="999" spans="1:4" x14ac:dyDescent="0.35">
      <c r="A999" t="s">
        <v>1</v>
      </c>
      <c r="B999" s="20">
        <f>Table_supermarket_sales___Sheet1[[#This Row],[Cost Price]]+Table57[[#This Row],[Markup Cost]]</f>
        <v>33.432000000000002</v>
      </c>
      <c r="C999">
        <v>9</v>
      </c>
      <c r="D999" s="21">
        <f>Table4[[#This Row],[Selling Price]]-Table_supermarket_sales___Sheet1[[#This Row],[Cost Price]]</f>
        <v>1.5920000000000023</v>
      </c>
    </row>
    <row r="1000" spans="1:4" x14ac:dyDescent="0.35">
      <c r="A1000" t="s">
        <v>2</v>
      </c>
      <c r="B1000" s="20">
        <f>Table_supermarket_sales___Sheet1[[#This Row],[Cost Price]]+Table57[[#This Row],[Markup Cost]]</f>
        <v>69.11099999999999</v>
      </c>
      <c r="C1000">
        <v>1</v>
      </c>
      <c r="D1000" s="21">
        <f>Table4[[#This Row],[Selling Price]]-Table_supermarket_sales___Sheet1[[#This Row],[Cost Price]]</f>
        <v>3.2909999999999968</v>
      </c>
    </row>
    <row r="1001" spans="1:4" x14ac:dyDescent="0.35">
      <c r="A1001" t="s">
        <v>3</v>
      </c>
      <c r="B1001" s="23">
        <f>Table_supermarket_sales___Sheet1[[#This Row],[Cost Price]]+Table57[[#This Row],[Markup Cost]]</f>
        <v>119.259</v>
      </c>
      <c r="C1001">
        <v>8</v>
      </c>
      <c r="D1001" s="21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EBB6F-5F8D-4B31-BBAE-C22FC5C02626}">
  <sheetPr codeName="Sheet3"/>
  <dimension ref="A1:L1001"/>
  <sheetViews>
    <sheetView zoomScale="87" workbookViewId="0">
      <selection activeCell="Y20" sqref="Y20"/>
    </sheetView>
  </sheetViews>
  <sheetFormatPr defaultRowHeight="14.5" x14ac:dyDescent="0.35"/>
  <cols>
    <col min="1" max="1" width="18.90625" bestFit="1" customWidth="1"/>
    <col min="2" max="2" width="11.7265625" style="21" bestFit="1" customWidth="1"/>
    <col min="3" max="3" width="10.81640625" style="1" bestFit="1" customWidth="1"/>
    <col min="4" max="4" width="13.6328125" style="21" bestFit="1" customWidth="1"/>
    <col min="5" max="5" width="14.7265625" bestFit="1" customWidth="1"/>
    <col min="6" max="6" width="12.81640625" style="21" bestFit="1" customWidth="1"/>
    <col min="8" max="8" width="18.90625" bestFit="1" customWidth="1"/>
    <col min="9" max="9" width="16.6328125" bestFit="1" customWidth="1"/>
    <col min="10" max="10" width="13.6328125" bestFit="1" customWidth="1"/>
    <col min="11" max="11" width="15.26953125" bestFit="1" customWidth="1"/>
    <col min="12" max="12" width="11.54296875" bestFit="1" customWidth="1"/>
    <col min="13" max="13" width="19" bestFit="1" customWidth="1"/>
    <col min="14" max="14" width="10.7265625" bestFit="1" customWidth="1"/>
  </cols>
  <sheetData>
    <row r="1" spans="1:12" x14ac:dyDescent="0.35">
      <c r="A1" s="2" t="s">
        <v>9</v>
      </c>
      <c r="B1" s="26" t="s">
        <v>8</v>
      </c>
      <c r="C1" s="1" t="s">
        <v>24</v>
      </c>
      <c r="D1" s="29" t="s">
        <v>0</v>
      </c>
      <c r="E1" s="13" t="s">
        <v>7</v>
      </c>
      <c r="F1" s="20" t="s">
        <v>13</v>
      </c>
    </row>
    <row r="2" spans="1:12" x14ac:dyDescent="0.35">
      <c r="A2" s="3" t="s">
        <v>1</v>
      </c>
      <c r="B2" s="27">
        <v>74.69</v>
      </c>
      <c r="C2" s="1">
        <v>7</v>
      </c>
      <c r="D2" s="30">
        <f>Table_supermarket_sales___Sheet1[[#This Row],[Cost Price]]+Table57[[#This Row],[Markup Cost]]</f>
        <v>100.83150000000001</v>
      </c>
      <c r="E2" s="4">
        <v>7</v>
      </c>
      <c r="F2" s="20">
        <f>Table_supermarket_sales___Sheet13[[#This Row],[Selling Price]]-Table_supermarket_sales___Sheet13[[#This Row],[Cost Price]]</f>
        <v>26.141500000000008</v>
      </c>
    </row>
    <row r="3" spans="1:12" x14ac:dyDescent="0.35">
      <c r="A3" s="3" t="s">
        <v>2</v>
      </c>
      <c r="B3" s="27">
        <v>15.28</v>
      </c>
      <c r="C3" s="1">
        <v>5</v>
      </c>
      <c r="D3" s="31">
        <f>Table_supermarket_sales___Sheet1[[#This Row],[Cost Price]]+Table57[[#This Row],[Markup Cost]]</f>
        <v>19.099999999999998</v>
      </c>
      <c r="E3" s="1">
        <v>5</v>
      </c>
      <c r="F3" s="20">
        <f>Table_supermarket_sales___Sheet13[[#This Row],[Selling Price]]-Table_supermarket_sales___Sheet13[[#This Row],[Cost Price]]</f>
        <v>3.8199999999999985</v>
      </c>
    </row>
    <row r="4" spans="1:12" x14ac:dyDescent="0.35">
      <c r="A4" s="3" t="s">
        <v>3</v>
      </c>
      <c r="B4" s="27">
        <v>46.33</v>
      </c>
      <c r="C4" s="1">
        <v>7</v>
      </c>
      <c r="D4" s="30">
        <f>Table_supermarket_sales___Sheet1[[#This Row],[Cost Price]]+Table57[[#This Row],[Markup Cost]]</f>
        <v>62.545499999999997</v>
      </c>
      <c r="E4" s="4">
        <v>7</v>
      </c>
      <c r="F4" s="20">
        <f>Table_supermarket_sales___Sheet13[[#This Row],[Selling Price]]-Table_supermarket_sales___Sheet13[[#This Row],[Cost Price]]</f>
        <v>16.215499999999999</v>
      </c>
    </row>
    <row r="5" spans="1:12" x14ac:dyDescent="0.35">
      <c r="A5" s="3" t="s">
        <v>1</v>
      </c>
      <c r="B5" s="27">
        <v>58.22</v>
      </c>
      <c r="C5" s="1">
        <v>8</v>
      </c>
      <c r="D5" s="31">
        <f>Table_supermarket_sales___Sheet1[[#This Row],[Cost Price]]+Table57[[#This Row],[Markup Cost]]</f>
        <v>81.507999999999996</v>
      </c>
      <c r="E5" s="1">
        <v>8</v>
      </c>
      <c r="F5" s="20">
        <f>Table_supermarket_sales___Sheet13[[#This Row],[Selling Price]]-Table_supermarket_sales___Sheet13[[#This Row],[Cost Price]]</f>
        <v>23.287999999999997</v>
      </c>
    </row>
    <row r="6" spans="1:12" ht="21" x14ac:dyDescent="0.5">
      <c r="A6" s="3" t="s">
        <v>4</v>
      </c>
      <c r="B6" s="27">
        <v>86.31</v>
      </c>
      <c r="C6" s="1">
        <v>7</v>
      </c>
      <c r="D6" s="31">
        <f>Table_supermarket_sales___Sheet1[[#This Row],[Cost Price]]+Table57[[#This Row],[Markup Cost]]</f>
        <v>116.5185</v>
      </c>
      <c r="E6" s="4">
        <v>7</v>
      </c>
      <c r="F6" s="20">
        <f>Table_supermarket_sales___Sheet13[[#This Row],[Selling Price]]-Table_supermarket_sales___Sheet13[[#This Row],[Cost Price]]</f>
        <v>30.208500000000001</v>
      </c>
      <c r="H6" s="34" t="s">
        <v>23</v>
      </c>
      <c r="I6" s="34"/>
      <c r="J6" s="34"/>
      <c r="K6" s="34"/>
      <c r="L6" s="34"/>
    </row>
    <row r="7" spans="1:12" x14ac:dyDescent="0.35">
      <c r="A7" s="3" t="s">
        <v>2</v>
      </c>
      <c r="B7" s="27">
        <v>85.39</v>
      </c>
      <c r="C7" s="1">
        <v>7</v>
      </c>
      <c r="D7" s="31">
        <f>Table_supermarket_sales___Sheet1[[#This Row],[Cost Price]]+Table57[[#This Row],[Markup Cost]]</f>
        <v>115.2765</v>
      </c>
      <c r="E7" s="1">
        <v>7</v>
      </c>
      <c r="F7" s="20">
        <f>Table_supermarket_sales___Sheet13[[#This Row],[Selling Price]]-Table_supermarket_sales___Sheet13[[#This Row],[Cost Price]]</f>
        <v>29.886499999999998</v>
      </c>
    </row>
    <row r="8" spans="1:12" x14ac:dyDescent="0.35">
      <c r="A8" s="3" t="s">
        <v>2</v>
      </c>
      <c r="B8" s="27">
        <v>68.84</v>
      </c>
      <c r="C8" s="1">
        <v>6</v>
      </c>
      <c r="D8" s="31">
        <f>Table_supermarket_sales___Sheet1[[#This Row],[Cost Price]]+Table57[[#This Row],[Markup Cost]]</f>
        <v>89.492000000000004</v>
      </c>
      <c r="E8" s="4">
        <v>6</v>
      </c>
      <c r="F8" s="20">
        <f>Table_supermarket_sales___Sheet13[[#This Row],[Selling Price]]-Table_supermarket_sales___Sheet13[[#This Row],[Cost Price]]</f>
        <v>20.652000000000001</v>
      </c>
    </row>
    <row r="9" spans="1:12" x14ac:dyDescent="0.35">
      <c r="A9" s="3" t="s">
        <v>3</v>
      </c>
      <c r="B9" s="27">
        <v>73.56</v>
      </c>
      <c r="C9" s="1">
        <v>10</v>
      </c>
      <c r="D9" s="31">
        <f>Table_supermarket_sales___Sheet1[[#This Row],[Cost Price]]+Table57[[#This Row],[Markup Cost]]</f>
        <v>110.34</v>
      </c>
      <c r="E9" s="1">
        <v>10</v>
      </c>
      <c r="F9" s="20">
        <f>Table_supermarket_sales___Sheet13[[#This Row],[Selling Price]]-Table_supermarket_sales___Sheet13[[#This Row],[Cost Price]]</f>
        <v>36.78</v>
      </c>
    </row>
    <row r="10" spans="1:12" x14ac:dyDescent="0.35">
      <c r="A10" s="3" t="s">
        <v>1</v>
      </c>
      <c r="B10" s="27">
        <v>36.26</v>
      </c>
      <c r="C10" s="1">
        <v>2</v>
      </c>
      <c r="D10" s="31">
        <f>Table_supermarket_sales___Sheet1[[#This Row],[Cost Price]]+Table57[[#This Row],[Markup Cost]]</f>
        <v>39.885999999999996</v>
      </c>
      <c r="E10" s="4">
        <v>2</v>
      </c>
      <c r="F10" s="20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5">
      <c r="A11" s="3" t="s">
        <v>5</v>
      </c>
      <c r="B11" s="27">
        <v>54.84</v>
      </c>
      <c r="C11" s="1">
        <v>3</v>
      </c>
      <c r="D11" s="31">
        <f>Table_supermarket_sales___Sheet1[[#This Row],[Cost Price]]+Table57[[#This Row],[Markup Cost]]</f>
        <v>63.066000000000003</v>
      </c>
      <c r="E11" s="1">
        <v>3</v>
      </c>
      <c r="F11" s="20">
        <f>Table_supermarket_sales___Sheet13[[#This Row],[Selling Price]]-Table_supermarket_sales___Sheet13[[#This Row],[Cost Price]]</f>
        <v>8.2259999999999991</v>
      </c>
      <c r="H11" s="14" t="s">
        <v>2</v>
      </c>
      <c r="I11" s="15">
        <v>971</v>
      </c>
      <c r="J11" s="17">
        <v>9103.7700000000059</v>
      </c>
      <c r="K11" s="17">
        <v>11691.271499999997</v>
      </c>
      <c r="L11" s="17">
        <v>2587.5015000000026</v>
      </c>
    </row>
    <row r="12" spans="1:12" x14ac:dyDescent="0.35">
      <c r="A12" s="3" t="s">
        <v>6</v>
      </c>
      <c r="B12" s="27">
        <v>14.48</v>
      </c>
      <c r="C12" s="1">
        <v>4</v>
      </c>
      <c r="D12" s="31">
        <f>Table_supermarket_sales___Sheet1[[#This Row],[Cost Price]]+Table57[[#This Row],[Markup Cost]]</f>
        <v>17.376000000000001</v>
      </c>
      <c r="E12" s="4">
        <v>4</v>
      </c>
      <c r="F12" s="20">
        <f>Table_supermarket_sales___Sheet13[[#This Row],[Selling Price]]-Table_supermarket_sales___Sheet13[[#This Row],[Cost Price]]</f>
        <v>2.8960000000000008</v>
      </c>
      <c r="H12" s="6" t="s">
        <v>6</v>
      </c>
      <c r="I12" s="1">
        <v>902</v>
      </c>
      <c r="J12" s="18">
        <v>10173.349999999997</v>
      </c>
      <c r="K12" s="18">
        <v>12759.344999999992</v>
      </c>
      <c r="L12" s="18">
        <v>2585.9949999999994</v>
      </c>
    </row>
    <row r="13" spans="1:12" x14ac:dyDescent="0.35">
      <c r="A13" s="3" t="s">
        <v>2</v>
      </c>
      <c r="B13" s="27">
        <v>25.51</v>
      </c>
      <c r="C13" s="1">
        <v>4</v>
      </c>
      <c r="D13" s="31">
        <f>Table_supermarket_sales___Sheet1[[#This Row],[Cost Price]]+Table57[[#This Row],[Markup Cost]]</f>
        <v>30.612000000000002</v>
      </c>
      <c r="E13" s="1">
        <v>4</v>
      </c>
      <c r="F13" s="20">
        <f>Table_supermarket_sales___Sheet13[[#This Row],[Selling Price]]-Table_supermarket_sales___Sheet13[[#This Row],[Cost Price]]</f>
        <v>5.1020000000000003</v>
      </c>
      <c r="H13" s="14" t="s">
        <v>5</v>
      </c>
      <c r="I13" s="15">
        <v>952</v>
      </c>
      <c r="J13" s="17">
        <v>9745.5400000000063</v>
      </c>
      <c r="K13" s="17">
        <v>12419.10400000001</v>
      </c>
      <c r="L13" s="17">
        <v>2673.5639999999994</v>
      </c>
    </row>
    <row r="14" spans="1:12" x14ac:dyDescent="0.35">
      <c r="A14" s="3" t="s">
        <v>2</v>
      </c>
      <c r="B14" s="27">
        <v>46.95</v>
      </c>
      <c r="C14" s="1">
        <v>5</v>
      </c>
      <c r="D14" s="31">
        <f>Table_supermarket_sales___Sheet1[[#This Row],[Cost Price]]+Table57[[#This Row],[Markup Cost]]</f>
        <v>58.6875</v>
      </c>
      <c r="E14" s="4">
        <v>5</v>
      </c>
      <c r="F14" s="20">
        <f>Table_supermarket_sales___Sheet13[[#This Row],[Selling Price]]-Table_supermarket_sales___Sheet13[[#This Row],[Cost Price]]</f>
        <v>11.737499999999997</v>
      </c>
      <c r="H14" s="6" t="s">
        <v>1</v>
      </c>
      <c r="I14" s="1">
        <v>854</v>
      </c>
      <c r="J14" s="18">
        <v>8337.880000000001</v>
      </c>
      <c r="K14" s="18">
        <v>10680.439000000006</v>
      </c>
      <c r="L14" s="18">
        <v>2342.5589999999993</v>
      </c>
    </row>
    <row r="15" spans="1:12" x14ac:dyDescent="0.35">
      <c r="A15" s="3" t="s">
        <v>5</v>
      </c>
      <c r="B15" s="27">
        <v>43.19</v>
      </c>
      <c r="C15" s="1">
        <v>10</v>
      </c>
      <c r="D15" s="31">
        <f>Table_supermarket_sales___Sheet1[[#This Row],[Cost Price]]+Table57[[#This Row],[Markup Cost]]</f>
        <v>64.784999999999997</v>
      </c>
      <c r="E15" s="1">
        <v>10</v>
      </c>
      <c r="F15" s="20">
        <f>Table_supermarket_sales___Sheet13[[#This Row],[Selling Price]]-Table_supermarket_sales___Sheet13[[#This Row],[Cost Price]]</f>
        <v>21.594999999999999</v>
      </c>
      <c r="H15" s="14" t="s">
        <v>3</v>
      </c>
      <c r="I15" s="15">
        <v>911</v>
      </c>
      <c r="J15" s="17">
        <v>8850.7099999999955</v>
      </c>
      <c r="K15" s="17">
        <v>11415.563000000011</v>
      </c>
      <c r="L15" s="17">
        <v>2564.8530000000019</v>
      </c>
    </row>
    <row r="16" spans="1:12" x14ac:dyDescent="0.35">
      <c r="A16" s="3" t="s">
        <v>1</v>
      </c>
      <c r="B16" s="27">
        <v>71.38</v>
      </c>
      <c r="C16" s="1">
        <v>10</v>
      </c>
      <c r="D16" s="31">
        <f>Table_supermarket_sales___Sheet1[[#This Row],[Cost Price]]+Table57[[#This Row],[Markup Cost]]</f>
        <v>107.07</v>
      </c>
      <c r="E16" s="4">
        <v>10</v>
      </c>
      <c r="F16" s="20">
        <f>Table_supermarket_sales___Sheet13[[#This Row],[Selling Price]]-Table_supermarket_sales___Sheet13[[#This Row],[Cost Price]]</f>
        <v>35.69</v>
      </c>
      <c r="H16" s="6" t="s">
        <v>4</v>
      </c>
      <c r="I16" s="1">
        <v>920</v>
      </c>
      <c r="J16" s="18">
        <v>9460.8799999999956</v>
      </c>
      <c r="K16" s="18">
        <v>12085.7765</v>
      </c>
      <c r="L16" s="18">
        <v>2624.8964999999985</v>
      </c>
    </row>
    <row r="17" spans="1:12" x14ac:dyDescent="0.35">
      <c r="A17" s="3" t="s">
        <v>4</v>
      </c>
      <c r="B17" s="27">
        <v>93.72</v>
      </c>
      <c r="C17" s="1">
        <v>6</v>
      </c>
      <c r="D17" s="31">
        <f>Table_supermarket_sales___Sheet1[[#This Row],[Cost Price]]+Table57[[#This Row],[Markup Cost]]</f>
        <v>121.836</v>
      </c>
      <c r="E17" s="1">
        <v>6</v>
      </c>
      <c r="F17" s="20">
        <f>Table_supermarket_sales___Sheet13[[#This Row],[Selling Price]]-Table_supermarket_sales___Sheet13[[#This Row],[Cost Price]]</f>
        <v>28.116</v>
      </c>
      <c r="H17" s="8" t="s">
        <v>25</v>
      </c>
      <c r="I17" s="7">
        <v>5510</v>
      </c>
      <c r="J17" s="19">
        <v>55672.13</v>
      </c>
      <c r="K17" s="19">
        <v>71051.499000000011</v>
      </c>
      <c r="L17" s="19">
        <v>15379.369000000002</v>
      </c>
    </row>
    <row r="18" spans="1:12" x14ac:dyDescent="0.35">
      <c r="A18" s="3" t="s">
        <v>1</v>
      </c>
      <c r="B18" s="27">
        <v>68.930000000000007</v>
      </c>
      <c r="C18" s="1">
        <v>7</v>
      </c>
      <c r="D18" s="31">
        <f>Table_supermarket_sales___Sheet1[[#This Row],[Cost Price]]+Table57[[#This Row],[Markup Cost]]</f>
        <v>93.055500000000009</v>
      </c>
      <c r="E18" s="4">
        <v>7</v>
      </c>
      <c r="F18" s="20">
        <f>Table_supermarket_sales___Sheet13[[#This Row],[Selling Price]]-Table_supermarket_sales___Sheet13[[#This Row],[Cost Price]]</f>
        <v>24.125500000000002</v>
      </c>
    </row>
    <row r="19" spans="1:12" x14ac:dyDescent="0.35">
      <c r="A19" s="3" t="s">
        <v>4</v>
      </c>
      <c r="B19" s="27">
        <v>72.61</v>
      </c>
      <c r="C19" s="1">
        <v>6</v>
      </c>
      <c r="D19" s="31">
        <f>Table_supermarket_sales___Sheet1[[#This Row],[Cost Price]]+Table57[[#This Row],[Markup Cost]]</f>
        <v>94.393000000000001</v>
      </c>
      <c r="E19" s="1">
        <v>6</v>
      </c>
      <c r="F19" s="20">
        <f>Table_supermarket_sales___Sheet13[[#This Row],[Selling Price]]-Table_supermarket_sales___Sheet13[[#This Row],[Cost Price]]</f>
        <v>21.783000000000001</v>
      </c>
    </row>
    <row r="20" spans="1:12" x14ac:dyDescent="0.35">
      <c r="A20" s="3" t="s">
        <v>5</v>
      </c>
      <c r="B20" s="27">
        <v>54.67</v>
      </c>
      <c r="C20" s="1">
        <v>3</v>
      </c>
      <c r="D20" s="31">
        <f>Table_supermarket_sales___Sheet1[[#This Row],[Cost Price]]+Table57[[#This Row],[Markup Cost]]</f>
        <v>62.8705</v>
      </c>
      <c r="E20" s="4">
        <v>3</v>
      </c>
      <c r="F20" s="20">
        <f>Table_supermarket_sales___Sheet13[[#This Row],[Selling Price]]-Table_supermarket_sales___Sheet13[[#This Row],[Cost Price]]</f>
        <v>8.2004999999999981</v>
      </c>
    </row>
    <row r="21" spans="1:12" x14ac:dyDescent="0.35">
      <c r="A21" s="3" t="s">
        <v>3</v>
      </c>
      <c r="B21" s="27">
        <v>40.299999999999997</v>
      </c>
      <c r="C21" s="1">
        <v>2</v>
      </c>
      <c r="D21" s="31">
        <f>Table_supermarket_sales___Sheet1[[#This Row],[Cost Price]]+Table57[[#This Row],[Markup Cost]]</f>
        <v>44.33</v>
      </c>
      <c r="E21" s="1">
        <v>2</v>
      </c>
      <c r="F21" s="20">
        <f>Table_supermarket_sales___Sheet13[[#This Row],[Selling Price]]-Table_supermarket_sales___Sheet13[[#This Row],[Cost Price]]</f>
        <v>4.0300000000000011</v>
      </c>
    </row>
    <row r="22" spans="1:12" x14ac:dyDescent="0.35">
      <c r="A22" s="3" t="s">
        <v>2</v>
      </c>
      <c r="B22" s="27">
        <v>86.04</v>
      </c>
      <c r="C22" s="1">
        <v>5</v>
      </c>
      <c r="D22" s="31">
        <f>Table_supermarket_sales___Sheet1[[#This Row],[Cost Price]]+Table57[[#This Row],[Markup Cost]]</f>
        <v>107.55000000000001</v>
      </c>
      <c r="E22" s="4">
        <v>5</v>
      </c>
      <c r="F22" s="20">
        <f>Table_supermarket_sales___Sheet13[[#This Row],[Selling Price]]-Table_supermarket_sales___Sheet13[[#This Row],[Cost Price]]</f>
        <v>21.510000000000005</v>
      </c>
    </row>
    <row r="23" spans="1:12" x14ac:dyDescent="0.35">
      <c r="A23" s="3" t="s">
        <v>1</v>
      </c>
      <c r="B23" s="27">
        <v>87.98</v>
      </c>
      <c r="C23" s="1">
        <v>3</v>
      </c>
      <c r="D23" s="31">
        <f>Table_supermarket_sales___Sheet1[[#This Row],[Cost Price]]+Table57[[#This Row],[Markup Cost]]</f>
        <v>101.17700000000001</v>
      </c>
      <c r="E23" s="1">
        <v>3</v>
      </c>
      <c r="F23" s="20">
        <f>Table_supermarket_sales___Sheet13[[#This Row],[Selling Price]]-Table_supermarket_sales___Sheet13[[#This Row],[Cost Price]]</f>
        <v>13.197000000000003</v>
      </c>
    </row>
    <row r="24" spans="1:12" x14ac:dyDescent="0.35">
      <c r="A24" s="3" t="s">
        <v>3</v>
      </c>
      <c r="B24" s="27">
        <v>33.200000000000003</v>
      </c>
      <c r="C24" s="1">
        <v>2</v>
      </c>
      <c r="D24" s="31">
        <f>Table_supermarket_sales___Sheet1[[#This Row],[Cost Price]]+Table57[[#This Row],[Markup Cost]]</f>
        <v>36.520000000000003</v>
      </c>
      <c r="E24" s="4">
        <v>2</v>
      </c>
      <c r="F24" s="20">
        <f>Table_supermarket_sales___Sheet13[[#This Row],[Selling Price]]-Table_supermarket_sales___Sheet13[[#This Row],[Cost Price]]</f>
        <v>3.3200000000000003</v>
      </c>
    </row>
    <row r="25" spans="1:12" x14ac:dyDescent="0.35">
      <c r="A25" s="3" t="s">
        <v>2</v>
      </c>
      <c r="B25" s="27">
        <v>34.56</v>
      </c>
      <c r="C25" s="1">
        <v>5</v>
      </c>
      <c r="D25" s="31">
        <f>Table_supermarket_sales___Sheet1[[#This Row],[Cost Price]]+Table57[[#This Row],[Markup Cost]]</f>
        <v>43.2</v>
      </c>
      <c r="E25" s="1">
        <v>5</v>
      </c>
      <c r="F25" s="20">
        <f>Table_supermarket_sales___Sheet13[[#This Row],[Selling Price]]-Table_supermarket_sales___Sheet13[[#This Row],[Cost Price]]</f>
        <v>8.64</v>
      </c>
    </row>
    <row r="26" spans="1:12" x14ac:dyDescent="0.35">
      <c r="A26" s="3" t="s">
        <v>4</v>
      </c>
      <c r="B26" s="27">
        <v>88.63</v>
      </c>
      <c r="C26" s="1">
        <v>3</v>
      </c>
      <c r="D26" s="31">
        <f>Table_supermarket_sales___Sheet1[[#This Row],[Cost Price]]+Table57[[#This Row],[Markup Cost]]</f>
        <v>101.92449999999999</v>
      </c>
      <c r="E26" s="4">
        <v>3</v>
      </c>
      <c r="F26" s="20">
        <f>Table_supermarket_sales___Sheet13[[#This Row],[Selling Price]]-Table_supermarket_sales___Sheet13[[#This Row],[Cost Price]]</f>
        <v>13.294499999999999</v>
      </c>
    </row>
    <row r="27" spans="1:12" x14ac:dyDescent="0.35">
      <c r="A27" s="3" t="s">
        <v>3</v>
      </c>
      <c r="B27" s="27">
        <v>52.59</v>
      </c>
      <c r="C27" s="1">
        <v>8</v>
      </c>
      <c r="D27" s="31">
        <f>Table_supermarket_sales___Sheet1[[#This Row],[Cost Price]]+Table57[[#This Row],[Markup Cost]]</f>
        <v>73.626000000000005</v>
      </c>
      <c r="E27" s="1">
        <v>8</v>
      </c>
      <c r="F27" s="20">
        <f>Table_supermarket_sales___Sheet13[[#This Row],[Selling Price]]-Table_supermarket_sales___Sheet13[[#This Row],[Cost Price]]</f>
        <v>21.036000000000001</v>
      </c>
    </row>
    <row r="28" spans="1:12" x14ac:dyDescent="0.35">
      <c r="A28" s="3" t="s">
        <v>6</v>
      </c>
      <c r="B28" s="27">
        <v>33.520000000000003</v>
      </c>
      <c r="C28" s="1">
        <v>1</v>
      </c>
      <c r="D28" s="31">
        <f>Table_supermarket_sales___Sheet1[[#This Row],[Cost Price]]+Table57[[#This Row],[Markup Cost]]</f>
        <v>35.196000000000005</v>
      </c>
      <c r="E28" s="4">
        <v>1</v>
      </c>
      <c r="F28" s="20">
        <f>Table_supermarket_sales___Sheet13[[#This Row],[Selling Price]]-Table_supermarket_sales___Sheet13[[#This Row],[Cost Price]]</f>
        <v>1.6760000000000019</v>
      </c>
    </row>
    <row r="29" spans="1:12" x14ac:dyDescent="0.35">
      <c r="A29" s="3" t="s">
        <v>6</v>
      </c>
      <c r="B29" s="27">
        <v>87.67</v>
      </c>
      <c r="C29" s="1">
        <v>2</v>
      </c>
      <c r="D29" s="31">
        <f>Table_supermarket_sales___Sheet1[[#This Row],[Cost Price]]+Table57[[#This Row],[Markup Cost]]</f>
        <v>96.436999999999998</v>
      </c>
      <c r="E29" s="1">
        <v>2</v>
      </c>
      <c r="F29" s="20">
        <f>Table_supermarket_sales___Sheet13[[#This Row],[Selling Price]]-Table_supermarket_sales___Sheet13[[#This Row],[Cost Price]]</f>
        <v>8.7669999999999959</v>
      </c>
    </row>
    <row r="30" spans="1:12" x14ac:dyDescent="0.35">
      <c r="A30" s="3" t="s">
        <v>5</v>
      </c>
      <c r="B30" s="27">
        <v>88.36</v>
      </c>
      <c r="C30" s="1">
        <v>5</v>
      </c>
      <c r="D30" s="31">
        <f>Table_supermarket_sales___Sheet1[[#This Row],[Cost Price]]+Table57[[#This Row],[Markup Cost]]</f>
        <v>110.45</v>
      </c>
      <c r="E30" s="4">
        <v>5</v>
      </c>
      <c r="F30" s="20">
        <f>Table_supermarket_sales___Sheet13[[#This Row],[Selling Price]]-Table_supermarket_sales___Sheet13[[#This Row],[Cost Price]]</f>
        <v>22.090000000000003</v>
      </c>
    </row>
    <row r="31" spans="1:12" x14ac:dyDescent="0.35">
      <c r="A31" s="3" t="s">
        <v>1</v>
      </c>
      <c r="B31" s="27">
        <v>24.89</v>
      </c>
      <c r="C31" s="1">
        <v>9</v>
      </c>
      <c r="D31" s="31">
        <f>Table_supermarket_sales___Sheet1[[#This Row],[Cost Price]]+Table57[[#This Row],[Markup Cost]]</f>
        <v>36.090499999999999</v>
      </c>
      <c r="E31" s="1">
        <v>9</v>
      </c>
      <c r="F31" s="20">
        <f>Table_supermarket_sales___Sheet13[[#This Row],[Selling Price]]-Table_supermarket_sales___Sheet13[[#This Row],[Cost Price]]</f>
        <v>11.200499999999998</v>
      </c>
    </row>
    <row r="32" spans="1:12" x14ac:dyDescent="0.35">
      <c r="A32" s="3" t="s">
        <v>6</v>
      </c>
      <c r="B32" s="27">
        <v>94.13</v>
      </c>
      <c r="C32" s="1">
        <v>5</v>
      </c>
      <c r="D32" s="31">
        <f>Table_supermarket_sales___Sheet1[[#This Row],[Cost Price]]+Table57[[#This Row],[Markup Cost]]</f>
        <v>117.66249999999999</v>
      </c>
      <c r="E32" s="4">
        <v>5</v>
      </c>
      <c r="F32" s="20">
        <f>Table_supermarket_sales___Sheet13[[#This Row],[Selling Price]]-Table_supermarket_sales___Sheet13[[#This Row],[Cost Price]]</f>
        <v>23.532499999999999</v>
      </c>
    </row>
    <row r="33" spans="1:6" x14ac:dyDescent="0.35">
      <c r="A33" s="3" t="s">
        <v>4</v>
      </c>
      <c r="B33" s="27">
        <v>78.069999999999993</v>
      </c>
      <c r="C33" s="1">
        <v>9</v>
      </c>
      <c r="D33" s="31">
        <f>Table_supermarket_sales___Sheet1[[#This Row],[Cost Price]]+Table57[[#This Row],[Markup Cost]]</f>
        <v>113.2015</v>
      </c>
      <c r="E33" s="1">
        <v>9</v>
      </c>
      <c r="F33" s="20">
        <f>Table_supermarket_sales___Sheet13[[#This Row],[Selling Price]]-Table_supermarket_sales___Sheet13[[#This Row],[Cost Price]]</f>
        <v>35.131500000000003</v>
      </c>
    </row>
    <row r="34" spans="1:6" x14ac:dyDescent="0.35">
      <c r="A34" s="3" t="s">
        <v>4</v>
      </c>
      <c r="B34" s="27">
        <v>83.78</v>
      </c>
      <c r="C34" s="1">
        <v>8</v>
      </c>
      <c r="D34" s="31">
        <f>Table_supermarket_sales___Sheet1[[#This Row],[Cost Price]]+Table57[[#This Row],[Markup Cost]]</f>
        <v>117.292</v>
      </c>
      <c r="E34" s="4">
        <v>8</v>
      </c>
      <c r="F34" s="20">
        <f>Table_supermarket_sales___Sheet13[[#This Row],[Selling Price]]-Table_supermarket_sales___Sheet13[[#This Row],[Cost Price]]</f>
        <v>33.512</v>
      </c>
    </row>
    <row r="35" spans="1:6" x14ac:dyDescent="0.35">
      <c r="A35" s="3" t="s">
        <v>1</v>
      </c>
      <c r="B35" s="27">
        <v>96.58</v>
      </c>
      <c r="C35" s="1">
        <v>2</v>
      </c>
      <c r="D35" s="31">
        <f>Table_supermarket_sales___Sheet1[[#This Row],[Cost Price]]+Table57[[#This Row],[Markup Cost]]</f>
        <v>106.238</v>
      </c>
      <c r="E35" s="1">
        <v>2</v>
      </c>
      <c r="F35" s="20">
        <f>Table_supermarket_sales___Sheet13[[#This Row],[Selling Price]]-Table_supermarket_sales___Sheet13[[#This Row],[Cost Price]]</f>
        <v>9.6580000000000013</v>
      </c>
    </row>
    <row r="36" spans="1:6" x14ac:dyDescent="0.35">
      <c r="A36" s="3" t="s">
        <v>5</v>
      </c>
      <c r="B36" s="27">
        <v>99.42</v>
      </c>
      <c r="C36" s="1">
        <v>4</v>
      </c>
      <c r="D36" s="31">
        <f>Table_supermarket_sales___Sheet1[[#This Row],[Cost Price]]+Table57[[#This Row],[Markup Cost]]</f>
        <v>119.304</v>
      </c>
      <c r="E36" s="4">
        <v>4</v>
      </c>
      <c r="F36" s="20">
        <f>Table_supermarket_sales___Sheet13[[#This Row],[Selling Price]]-Table_supermarket_sales___Sheet13[[#This Row],[Cost Price]]</f>
        <v>19.884</v>
      </c>
    </row>
    <row r="37" spans="1:6" x14ac:dyDescent="0.35">
      <c r="A37" s="3" t="s">
        <v>4</v>
      </c>
      <c r="B37" s="27">
        <v>68.12</v>
      </c>
      <c r="C37" s="1">
        <v>1</v>
      </c>
      <c r="D37" s="31">
        <f>Table_supermarket_sales___Sheet1[[#This Row],[Cost Price]]+Table57[[#This Row],[Markup Cost]]</f>
        <v>71.52600000000001</v>
      </c>
      <c r="E37" s="1">
        <v>1</v>
      </c>
      <c r="F37" s="20">
        <f>Table_supermarket_sales___Sheet13[[#This Row],[Selling Price]]-Table_supermarket_sales___Sheet13[[#This Row],[Cost Price]]</f>
        <v>3.4060000000000059</v>
      </c>
    </row>
    <row r="38" spans="1:6" x14ac:dyDescent="0.35">
      <c r="A38" s="3" t="s">
        <v>4</v>
      </c>
      <c r="B38" s="27">
        <v>62.62</v>
      </c>
      <c r="C38" s="1">
        <v>5</v>
      </c>
      <c r="D38" s="31">
        <f>Table_supermarket_sales___Sheet1[[#This Row],[Cost Price]]+Table57[[#This Row],[Markup Cost]]</f>
        <v>78.274999999999991</v>
      </c>
      <c r="E38" s="4">
        <v>5</v>
      </c>
      <c r="F38" s="20">
        <f>Table_supermarket_sales___Sheet13[[#This Row],[Selling Price]]-Table_supermarket_sales___Sheet13[[#This Row],[Cost Price]]</f>
        <v>15.654999999999994</v>
      </c>
    </row>
    <row r="39" spans="1:6" x14ac:dyDescent="0.35">
      <c r="A39" s="3" t="s">
        <v>2</v>
      </c>
      <c r="B39" s="27">
        <v>60.88</v>
      </c>
      <c r="C39" s="1">
        <v>9</v>
      </c>
      <c r="D39" s="31">
        <f>Table_supermarket_sales___Sheet1[[#This Row],[Cost Price]]+Table57[[#This Row],[Markup Cost]]</f>
        <v>88.27600000000001</v>
      </c>
      <c r="E39" s="1">
        <v>9</v>
      </c>
      <c r="F39" s="20">
        <f>Table_supermarket_sales___Sheet13[[#This Row],[Selling Price]]-Table_supermarket_sales___Sheet13[[#This Row],[Cost Price]]</f>
        <v>27.396000000000008</v>
      </c>
    </row>
    <row r="40" spans="1:6" x14ac:dyDescent="0.35">
      <c r="A40" s="3" t="s">
        <v>1</v>
      </c>
      <c r="B40" s="27">
        <v>54.92</v>
      </c>
      <c r="C40" s="1">
        <v>8</v>
      </c>
      <c r="D40" s="31">
        <f>Table_supermarket_sales___Sheet1[[#This Row],[Cost Price]]+Table57[[#This Row],[Markup Cost]]</f>
        <v>76.888000000000005</v>
      </c>
      <c r="E40" s="4">
        <v>8</v>
      </c>
      <c r="F40" s="20">
        <f>Table_supermarket_sales___Sheet13[[#This Row],[Selling Price]]-Table_supermarket_sales___Sheet13[[#This Row],[Cost Price]]</f>
        <v>21.968000000000004</v>
      </c>
    </row>
    <row r="41" spans="1:6" x14ac:dyDescent="0.35">
      <c r="A41" s="3" t="s">
        <v>3</v>
      </c>
      <c r="B41" s="27">
        <v>30.12</v>
      </c>
      <c r="C41" s="1">
        <v>8</v>
      </c>
      <c r="D41" s="31">
        <f>Table_supermarket_sales___Sheet1[[#This Row],[Cost Price]]+Table57[[#This Row],[Markup Cost]]</f>
        <v>42.167999999999999</v>
      </c>
      <c r="E41" s="1">
        <v>8</v>
      </c>
      <c r="F41" s="20">
        <f>Table_supermarket_sales___Sheet13[[#This Row],[Selling Price]]-Table_supermarket_sales___Sheet13[[#This Row],[Cost Price]]</f>
        <v>12.047999999999998</v>
      </c>
    </row>
    <row r="42" spans="1:6" x14ac:dyDescent="0.35">
      <c r="A42" s="3" t="s">
        <v>3</v>
      </c>
      <c r="B42" s="27">
        <v>86.72</v>
      </c>
      <c r="C42" s="1">
        <v>1</v>
      </c>
      <c r="D42" s="31">
        <f>Table_supermarket_sales___Sheet1[[#This Row],[Cost Price]]+Table57[[#This Row],[Markup Cost]]</f>
        <v>91.055999999999997</v>
      </c>
      <c r="E42" s="4">
        <v>1</v>
      </c>
      <c r="F42" s="20">
        <f>Table_supermarket_sales___Sheet13[[#This Row],[Selling Price]]-Table_supermarket_sales___Sheet13[[#This Row],[Cost Price]]</f>
        <v>4.3359999999999985</v>
      </c>
    </row>
    <row r="43" spans="1:6" x14ac:dyDescent="0.35">
      <c r="A43" s="3" t="s">
        <v>3</v>
      </c>
      <c r="B43" s="27">
        <v>56.11</v>
      </c>
      <c r="C43" s="1">
        <v>2</v>
      </c>
      <c r="D43" s="31">
        <f>Table_supermarket_sales___Sheet1[[#This Row],[Cost Price]]+Table57[[#This Row],[Markup Cost]]</f>
        <v>61.720999999999997</v>
      </c>
      <c r="E43" s="1">
        <v>2</v>
      </c>
      <c r="F43" s="20">
        <f>Table_supermarket_sales___Sheet13[[#This Row],[Selling Price]]-Table_supermarket_sales___Sheet13[[#This Row],[Cost Price]]</f>
        <v>5.6109999999999971</v>
      </c>
    </row>
    <row r="44" spans="1:6" x14ac:dyDescent="0.35">
      <c r="A44" s="3" t="s">
        <v>4</v>
      </c>
      <c r="B44" s="27">
        <v>69.12</v>
      </c>
      <c r="C44" s="1">
        <v>6</v>
      </c>
      <c r="D44" s="31">
        <f>Table_supermarket_sales___Sheet1[[#This Row],[Cost Price]]+Table57[[#This Row],[Markup Cost]]</f>
        <v>89.856000000000009</v>
      </c>
      <c r="E44" s="4">
        <v>6</v>
      </c>
      <c r="F44" s="20">
        <f>Table_supermarket_sales___Sheet13[[#This Row],[Selling Price]]-Table_supermarket_sales___Sheet13[[#This Row],[Cost Price]]</f>
        <v>20.736000000000004</v>
      </c>
    </row>
    <row r="45" spans="1:6" x14ac:dyDescent="0.35">
      <c r="A45" s="3" t="s">
        <v>5</v>
      </c>
      <c r="B45" s="27">
        <v>98.7</v>
      </c>
      <c r="C45" s="1">
        <v>8</v>
      </c>
      <c r="D45" s="31">
        <f>Table_supermarket_sales___Sheet1[[#This Row],[Cost Price]]+Table57[[#This Row],[Markup Cost]]</f>
        <v>138.18</v>
      </c>
      <c r="E45" s="1">
        <v>8</v>
      </c>
      <c r="F45" s="20">
        <f>Table_supermarket_sales___Sheet13[[#This Row],[Selling Price]]-Table_supermarket_sales___Sheet13[[#This Row],[Cost Price]]</f>
        <v>39.480000000000004</v>
      </c>
    </row>
    <row r="46" spans="1:6" x14ac:dyDescent="0.35">
      <c r="A46" s="3" t="s">
        <v>1</v>
      </c>
      <c r="B46" s="27">
        <v>15.37</v>
      </c>
      <c r="C46" s="1">
        <v>2</v>
      </c>
      <c r="D46" s="31">
        <f>Table_supermarket_sales___Sheet1[[#This Row],[Cost Price]]+Table57[[#This Row],[Markup Cost]]</f>
        <v>16.907</v>
      </c>
      <c r="E46" s="4">
        <v>2</v>
      </c>
      <c r="F46" s="20">
        <f>Table_supermarket_sales___Sheet13[[#This Row],[Selling Price]]-Table_supermarket_sales___Sheet13[[#This Row],[Cost Price]]</f>
        <v>1.5370000000000008</v>
      </c>
    </row>
    <row r="47" spans="1:6" x14ac:dyDescent="0.35">
      <c r="A47" s="3" t="s">
        <v>2</v>
      </c>
      <c r="B47" s="27">
        <v>93.96</v>
      </c>
      <c r="C47" s="1">
        <v>4</v>
      </c>
      <c r="D47" s="31">
        <f>Table_supermarket_sales___Sheet1[[#This Row],[Cost Price]]+Table57[[#This Row],[Markup Cost]]</f>
        <v>112.752</v>
      </c>
      <c r="E47" s="1">
        <v>4</v>
      </c>
      <c r="F47" s="20">
        <f>Table_supermarket_sales___Sheet13[[#This Row],[Selling Price]]-Table_supermarket_sales___Sheet13[[#This Row],[Cost Price]]</f>
        <v>18.792000000000002</v>
      </c>
    </row>
    <row r="48" spans="1:6" x14ac:dyDescent="0.35">
      <c r="A48" s="3" t="s">
        <v>1</v>
      </c>
      <c r="B48" s="27">
        <v>56.69</v>
      </c>
      <c r="C48" s="1">
        <v>9</v>
      </c>
      <c r="D48" s="31">
        <f>Table_supermarket_sales___Sheet1[[#This Row],[Cost Price]]+Table57[[#This Row],[Markup Cost]]</f>
        <v>82.200500000000005</v>
      </c>
      <c r="E48" s="4">
        <v>9</v>
      </c>
      <c r="F48" s="20">
        <f>Table_supermarket_sales___Sheet13[[#This Row],[Selling Price]]-Table_supermarket_sales___Sheet13[[#This Row],[Cost Price]]</f>
        <v>25.510500000000008</v>
      </c>
    </row>
    <row r="49" spans="1:6" x14ac:dyDescent="0.35">
      <c r="A49" s="3" t="s">
        <v>5</v>
      </c>
      <c r="B49" s="27">
        <v>20.010000000000002</v>
      </c>
      <c r="C49" s="1">
        <v>9</v>
      </c>
      <c r="D49" s="31">
        <f>Table_supermarket_sales___Sheet1[[#This Row],[Cost Price]]+Table57[[#This Row],[Markup Cost]]</f>
        <v>29.014500000000002</v>
      </c>
      <c r="E49" s="1">
        <v>9</v>
      </c>
      <c r="F49" s="20">
        <f>Table_supermarket_sales___Sheet13[[#This Row],[Selling Price]]-Table_supermarket_sales___Sheet13[[#This Row],[Cost Price]]</f>
        <v>9.0045000000000002</v>
      </c>
    </row>
    <row r="50" spans="1:6" x14ac:dyDescent="0.35">
      <c r="A50" s="3" t="s">
        <v>2</v>
      </c>
      <c r="B50" s="27">
        <v>18.93</v>
      </c>
      <c r="C50" s="1">
        <v>6</v>
      </c>
      <c r="D50" s="31">
        <f>Table_supermarket_sales___Sheet1[[#This Row],[Cost Price]]+Table57[[#This Row],[Markup Cost]]</f>
        <v>24.609000000000002</v>
      </c>
      <c r="E50" s="4">
        <v>6</v>
      </c>
      <c r="F50" s="20">
        <f>Table_supermarket_sales___Sheet13[[#This Row],[Selling Price]]-Table_supermarket_sales___Sheet13[[#This Row],[Cost Price]]</f>
        <v>5.679000000000002</v>
      </c>
    </row>
    <row r="51" spans="1:6" x14ac:dyDescent="0.35">
      <c r="A51" s="3" t="s">
        <v>6</v>
      </c>
      <c r="B51" s="27">
        <v>82.63</v>
      </c>
      <c r="C51" s="1">
        <v>10</v>
      </c>
      <c r="D51" s="31">
        <f>Table_supermarket_sales___Sheet1[[#This Row],[Cost Price]]+Table57[[#This Row],[Markup Cost]]</f>
        <v>123.94499999999999</v>
      </c>
      <c r="E51" s="1">
        <v>10</v>
      </c>
      <c r="F51" s="20">
        <f>Table_supermarket_sales___Sheet13[[#This Row],[Selling Price]]-Table_supermarket_sales___Sheet13[[#This Row],[Cost Price]]</f>
        <v>41.314999999999998</v>
      </c>
    </row>
    <row r="52" spans="1:6" x14ac:dyDescent="0.35">
      <c r="A52" s="3" t="s">
        <v>5</v>
      </c>
      <c r="B52" s="27">
        <v>91.4</v>
      </c>
      <c r="C52" s="1">
        <v>7</v>
      </c>
      <c r="D52" s="31">
        <f>Table_supermarket_sales___Sheet1[[#This Row],[Cost Price]]+Table57[[#This Row],[Markup Cost]]</f>
        <v>123.39</v>
      </c>
      <c r="E52" s="4">
        <v>7</v>
      </c>
      <c r="F52" s="20">
        <f>Table_supermarket_sales___Sheet13[[#This Row],[Selling Price]]-Table_supermarket_sales___Sheet13[[#This Row],[Cost Price]]</f>
        <v>31.989999999999995</v>
      </c>
    </row>
    <row r="53" spans="1:6" x14ac:dyDescent="0.35">
      <c r="A53" s="3" t="s">
        <v>5</v>
      </c>
      <c r="B53" s="27">
        <v>44.59</v>
      </c>
      <c r="C53" s="1">
        <v>5</v>
      </c>
      <c r="D53" s="31">
        <f>Table_supermarket_sales___Sheet1[[#This Row],[Cost Price]]+Table57[[#This Row],[Markup Cost]]</f>
        <v>55.737500000000004</v>
      </c>
      <c r="E53" s="1">
        <v>5</v>
      </c>
      <c r="F53" s="20">
        <f>Table_supermarket_sales___Sheet13[[#This Row],[Selling Price]]-Table_supermarket_sales___Sheet13[[#This Row],[Cost Price]]</f>
        <v>11.147500000000001</v>
      </c>
    </row>
    <row r="54" spans="1:6" x14ac:dyDescent="0.35">
      <c r="A54" s="3" t="s">
        <v>6</v>
      </c>
      <c r="B54" s="27">
        <v>17.87</v>
      </c>
      <c r="C54" s="1">
        <v>4</v>
      </c>
      <c r="D54" s="31">
        <f>Table_supermarket_sales___Sheet1[[#This Row],[Cost Price]]+Table57[[#This Row],[Markup Cost]]</f>
        <v>21.444000000000003</v>
      </c>
      <c r="E54" s="4">
        <v>4</v>
      </c>
      <c r="F54" s="20">
        <f>Table_supermarket_sales___Sheet13[[#This Row],[Selling Price]]-Table_supermarket_sales___Sheet13[[#This Row],[Cost Price]]</f>
        <v>3.5740000000000016</v>
      </c>
    </row>
    <row r="55" spans="1:6" x14ac:dyDescent="0.35">
      <c r="A55" s="3" t="s">
        <v>6</v>
      </c>
      <c r="B55" s="27">
        <v>15.43</v>
      </c>
      <c r="C55" s="1">
        <v>1</v>
      </c>
      <c r="D55" s="31">
        <f>Table_supermarket_sales___Sheet1[[#This Row],[Cost Price]]+Table57[[#This Row],[Markup Cost]]</f>
        <v>16.201499999999999</v>
      </c>
      <c r="E55" s="1">
        <v>1</v>
      </c>
      <c r="F55" s="20">
        <f>Table_supermarket_sales___Sheet13[[#This Row],[Selling Price]]-Table_supermarket_sales___Sheet13[[#This Row],[Cost Price]]</f>
        <v>0.77149999999999963</v>
      </c>
    </row>
    <row r="56" spans="1:6" x14ac:dyDescent="0.35">
      <c r="A56" s="3" t="s">
        <v>3</v>
      </c>
      <c r="B56" s="27">
        <v>16.16</v>
      </c>
      <c r="C56" s="1">
        <v>2</v>
      </c>
      <c r="D56" s="31">
        <f>Table_supermarket_sales___Sheet1[[#This Row],[Cost Price]]+Table57[[#This Row],[Markup Cost]]</f>
        <v>17.776</v>
      </c>
      <c r="E56" s="4">
        <v>2</v>
      </c>
      <c r="F56" s="20">
        <f>Table_supermarket_sales___Sheet13[[#This Row],[Selling Price]]-Table_supermarket_sales___Sheet13[[#This Row],[Cost Price]]</f>
        <v>1.6159999999999997</v>
      </c>
    </row>
    <row r="57" spans="1:6" x14ac:dyDescent="0.35">
      <c r="A57" s="3" t="s">
        <v>2</v>
      </c>
      <c r="B57" s="27">
        <v>85.98</v>
      </c>
      <c r="C57" s="1">
        <v>8</v>
      </c>
      <c r="D57" s="31">
        <f>Table_supermarket_sales___Sheet1[[#This Row],[Cost Price]]+Table57[[#This Row],[Markup Cost]]</f>
        <v>120.37200000000001</v>
      </c>
      <c r="E57" s="1">
        <v>8</v>
      </c>
      <c r="F57" s="20">
        <f>Table_supermarket_sales___Sheet13[[#This Row],[Selling Price]]-Table_supermarket_sales___Sheet13[[#This Row],[Cost Price]]</f>
        <v>34.39200000000001</v>
      </c>
    </row>
    <row r="58" spans="1:6" x14ac:dyDescent="0.35">
      <c r="A58" s="3" t="s">
        <v>3</v>
      </c>
      <c r="B58" s="27">
        <v>44.34</v>
      </c>
      <c r="C58" s="1">
        <v>2</v>
      </c>
      <c r="D58" s="31">
        <f>Table_supermarket_sales___Sheet1[[#This Row],[Cost Price]]+Table57[[#This Row],[Markup Cost]]</f>
        <v>48.774000000000001</v>
      </c>
      <c r="E58" s="4">
        <v>2</v>
      </c>
      <c r="F58" s="20">
        <f>Table_supermarket_sales___Sheet13[[#This Row],[Selling Price]]-Table_supermarket_sales___Sheet13[[#This Row],[Cost Price]]</f>
        <v>4.4339999999999975</v>
      </c>
    </row>
    <row r="59" spans="1:6" x14ac:dyDescent="0.35">
      <c r="A59" s="3" t="s">
        <v>1</v>
      </c>
      <c r="B59" s="27">
        <v>89.6</v>
      </c>
      <c r="C59" s="1">
        <v>8</v>
      </c>
      <c r="D59" s="31">
        <f>Table_supermarket_sales___Sheet1[[#This Row],[Cost Price]]+Table57[[#This Row],[Markup Cost]]</f>
        <v>125.44</v>
      </c>
      <c r="E59" s="1">
        <v>8</v>
      </c>
      <c r="F59" s="20">
        <f>Table_supermarket_sales___Sheet13[[#This Row],[Selling Price]]-Table_supermarket_sales___Sheet13[[#This Row],[Cost Price]]</f>
        <v>35.840000000000003</v>
      </c>
    </row>
    <row r="60" spans="1:6" x14ac:dyDescent="0.35">
      <c r="A60" s="3" t="s">
        <v>3</v>
      </c>
      <c r="B60" s="27">
        <v>72.349999999999994</v>
      </c>
      <c r="C60" s="1">
        <v>10</v>
      </c>
      <c r="D60" s="31">
        <f>Table_supermarket_sales___Sheet1[[#This Row],[Cost Price]]+Table57[[#This Row],[Markup Cost]]</f>
        <v>108.52499999999999</v>
      </c>
      <c r="E60" s="4">
        <v>10</v>
      </c>
      <c r="F60" s="20">
        <f>Table_supermarket_sales___Sheet13[[#This Row],[Selling Price]]-Table_supermarket_sales___Sheet13[[#This Row],[Cost Price]]</f>
        <v>36.174999999999997</v>
      </c>
    </row>
    <row r="61" spans="1:6" x14ac:dyDescent="0.35">
      <c r="A61" s="3" t="s">
        <v>2</v>
      </c>
      <c r="B61" s="27">
        <v>30.61</v>
      </c>
      <c r="C61" s="1">
        <v>6</v>
      </c>
      <c r="D61" s="31">
        <f>Table_supermarket_sales___Sheet1[[#This Row],[Cost Price]]+Table57[[#This Row],[Markup Cost]]</f>
        <v>39.792999999999999</v>
      </c>
      <c r="E61" s="1">
        <v>6</v>
      </c>
      <c r="F61" s="20">
        <f>Table_supermarket_sales___Sheet13[[#This Row],[Selling Price]]-Table_supermarket_sales___Sheet13[[#This Row],[Cost Price]]</f>
        <v>9.1829999999999998</v>
      </c>
    </row>
    <row r="62" spans="1:6" x14ac:dyDescent="0.35">
      <c r="A62" s="3" t="s">
        <v>4</v>
      </c>
      <c r="B62" s="27">
        <v>24.74</v>
      </c>
      <c r="C62" s="1">
        <v>3</v>
      </c>
      <c r="D62" s="31">
        <f>Table_supermarket_sales___Sheet1[[#This Row],[Cost Price]]+Table57[[#This Row],[Markup Cost]]</f>
        <v>28.450999999999997</v>
      </c>
      <c r="E62" s="4">
        <v>3</v>
      </c>
      <c r="F62" s="20">
        <f>Table_supermarket_sales___Sheet13[[#This Row],[Selling Price]]-Table_supermarket_sales___Sheet13[[#This Row],[Cost Price]]</f>
        <v>3.7109999999999985</v>
      </c>
    </row>
    <row r="63" spans="1:6" x14ac:dyDescent="0.35">
      <c r="A63" s="3" t="s">
        <v>3</v>
      </c>
      <c r="B63" s="27">
        <v>55.73</v>
      </c>
      <c r="C63" s="1">
        <v>6</v>
      </c>
      <c r="D63" s="31">
        <f>Table_supermarket_sales___Sheet1[[#This Row],[Cost Price]]+Table57[[#This Row],[Markup Cost]]</f>
        <v>72.448999999999998</v>
      </c>
      <c r="E63" s="1">
        <v>6</v>
      </c>
      <c r="F63" s="20">
        <f>Table_supermarket_sales___Sheet13[[#This Row],[Selling Price]]-Table_supermarket_sales___Sheet13[[#This Row],[Cost Price]]</f>
        <v>16.719000000000001</v>
      </c>
    </row>
    <row r="64" spans="1:6" x14ac:dyDescent="0.35">
      <c r="A64" s="3" t="s">
        <v>4</v>
      </c>
      <c r="B64" s="27">
        <v>55.07</v>
      </c>
      <c r="C64" s="1">
        <v>9</v>
      </c>
      <c r="D64" s="31">
        <f>Table_supermarket_sales___Sheet1[[#This Row],[Cost Price]]+Table57[[#This Row],[Markup Cost]]</f>
        <v>79.851500000000001</v>
      </c>
      <c r="E64" s="4">
        <v>9</v>
      </c>
      <c r="F64" s="20">
        <f>Table_supermarket_sales___Sheet13[[#This Row],[Selling Price]]-Table_supermarket_sales___Sheet13[[#This Row],[Cost Price]]</f>
        <v>24.781500000000001</v>
      </c>
    </row>
    <row r="65" spans="1:6" x14ac:dyDescent="0.35">
      <c r="A65" s="3" t="s">
        <v>4</v>
      </c>
      <c r="B65" s="27">
        <v>15.81</v>
      </c>
      <c r="C65" s="1">
        <v>10</v>
      </c>
      <c r="D65" s="31">
        <f>Table_supermarket_sales___Sheet1[[#This Row],[Cost Price]]+Table57[[#This Row],[Markup Cost]]</f>
        <v>23.715</v>
      </c>
      <c r="E65" s="1">
        <v>10</v>
      </c>
      <c r="F65" s="20">
        <f>Table_supermarket_sales___Sheet13[[#This Row],[Selling Price]]-Table_supermarket_sales___Sheet13[[#This Row],[Cost Price]]</f>
        <v>7.9049999999999994</v>
      </c>
    </row>
    <row r="66" spans="1:6" x14ac:dyDescent="0.35">
      <c r="A66" s="3" t="s">
        <v>1</v>
      </c>
      <c r="B66" s="27">
        <v>75.739999999999995</v>
      </c>
      <c r="C66" s="1">
        <v>4</v>
      </c>
      <c r="D66" s="31">
        <f>Table_supermarket_sales___Sheet1[[#This Row],[Cost Price]]+Table57[[#This Row],[Markup Cost]]</f>
        <v>90.887999999999991</v>
      </c>
      <c r="E66" s="4">
        <v>4</v>
      </c>
      <c r="F66" s="20">
        <f>Table_supermarket_sales___Sheet13[[#This Row],[Selling Price]]-Table_supermarket_sales___Sheet13[[#This Row],[Cost Price]]</f>
        <v>15.147999999999996</v>
      </c>
    </row>
    <row r="67" spans="1:6" x14ac:dyDescent="0.35">
      <c r="A67" s="3" t="s">
        <v>1</v>
      </c>
      <c r="B67" s="27">
        <v>15.87</v>
      </c>
      <c r="C67" s="1">
        <v>10</v>
      </c>
      <c r="D67" s="31">
        <f>Table_supermarket_sales___Sheet1[[#This Row],[Cost Price]]+Table57[[#This Row],[Markup Cost]]</f>
        <v>23.805</v>
      </c>
      <c r="E67" s="1">
        <v>10</v>
      </c>
      <c r="F67" s="20">
        <f>Table_supermarket_sales___Sheet13[[#This Row],[Selling Price]]-Table_supermarket_sales___Sheet13[[#This Row],[Cost Price]]</f>
        <v>7.9350000000000005</v>
      </c>
    </row>
    <row r="68" spans="1:6" x14ac:dyDescent="0.35">
      <c r="A68" s="3" t="s">
        <v>1</v>
      </c>
      <c r="B68" s="27">
        <v>33.47</v>
      </c>
      <c r="C68" s="1">
        <v>2</v>
      </c>
      <c r="D68" s="31">
        <f>Table_supermarket_sales___Sheet1[[#This Row],[Cost Price]]+Table57[[#This Row],[Markup Cost]]</f>
        <v>36.817</v>
      </c>
      <c r="E68" s="4">
        <v>2</v>
      </c>
      <c r="F68" s="20">
        <f>Table_supermarket_sales___Sheet13[[#This Row],[Selling Price]]-Table_supermarket_sales___Sheet13[[#This Row],[Cost Price]]</f>
        <v>3.3470000000000013</v>
      </c>
    </row>
    <row r="69" spans="1:6" x14ac:dyDescent="0.35">
      <c r="A69" s="3" t="s">
        <v>6</v>
      </c>
      <c r="B69" s="27">
        <v>97.61</v>
      </c>
      <c r="C69" s="1">
        <v>6</v>
      </c>
      <c r="D69" s="31">
        <f>Table_supermarket_sales___Sheet1[[#This Row],[Cost Price]]+Table57[[#This Row],[Markup Cost]]</f>
        <v>126.893</v>
      </c>
      <c r="E69" s="1">
        <v>6</v>
      </c>
      <c r="F69" s="20">
        <f>Table_supermarket_sales___Sheet13[[#This Row],[Selling Price]]-Table_supermarket_sales___Sheet13[[#This Row],[Cost Price]]</f>
        <v>29.283000000000001</v>
      </c>
    </row>
    <row r="70" spans="1:6" x14ac:dyDescent="0.35">
      <c r="A70" s="3" t="s">
        <v>4</v>
      </c>
      <c r="B70" s="27">
        <v>78.77</v>
      </c>
      <c r="C70" s="1">
        <v>10</v>
      </c>
      <c r="D70" s="31">
        <f>Table_supermarket_sales___Sheet1[[#This Row],[Cost Price]]+Table57[[#This Row],[Markup Cost]]</f>
        <v>118.155</v>
      </c>
      <c r="E70" s="4">
        <v>10</v>
      </c>
      <c r="F70" s="20">
        <f>Table_supermarket_sales___Sheet13[[#This Row],[Selling Price]]-Table_supermarket_sales___Sheet13[[#This Row],[Cost Price]]</f>
        <v>39.385000000000005</v>
      </c>
    </row>
    <row r="71" spans="1:6" x14ac:dyDescent="0.35">
      <c r="A71" s="3" t="s">
        <v>1</v>
      </c>
      <c r="B71" s="27">
        <v>18.329999999999998</v>
      </c>
      <c r="C71" s="1">
        <v>1</v>
      </c>
      <c r="D71" s="31">
        <f>Table_supermarket_sales___Sheet1[[#This Row],[Cost Price]]+Table57[[#This Row],[Markup Cost]]</f>
        <v>19.246499999999997</v>
      </c>
      <c r="E71" s="1">
        <v>1</v>
      </c>
      <c r="F71" s="20">
        <f>Table_supermarket_sales___Sheet13[[#This Row],[Selling Price]]-Table_supermarket_sales___Sheet13[[#This Row],[Cost Price]]</f>
        <v>0.9164999999999992</v>
      </c>
    </row>
    <row r="72" spans="1:6" x14ac:dyDescent="0.35">
      <c r="A72" s="3" t="s">
        <v>5</v>
      </c>
      <c r="B72" s="27">
        <v>89.48</v>
      </c>
      <c r="C72" s="1">
        <v>10</v>
      </c>
      <c r="D72" s="31">
        <f>Table_supermarket_sales___Sheet1[[#This Row],[Cost Price]]+Table57[[#This Row],[Markup Cost]]</f>
        <v>134.22</v>
      </c>
      <c r="E72" s="4">
        <v>10</v>
      </c>
      <c r="F72" s="20">
        <f>Table_supermarket_sales___Sheet13[[#This Row],[Selling Price]]-Table_supermarket_sales___Sheet13[[#This Row],[Cost Price]]</f>
        <v>44.739999999999995</v>
      </c>
    </row>
    <row r="73" spans="1:6" x14ac:dyDescent="0.35">
      <c r="A73" s="3" t="s">
        <v>6</v>
      </c>
      <c r="B73" s="27">
        <v>62.12</v>
      </c>
      <c r="C73" s="1">
        <v>10</v>
      </c>
      <c r="D73" s="31">
        <f>Table_supermarket_sales___Sheet1[[#This Row],[Cost Price]]+Table57[[#This Row],[Markup Cost]]</f>
        <v>93.179999999999993</v>
      </c>
      <c r="E73" s="1">
        <v>10</v>
      </c>
      <c r="F73" s="20">
        <f>Table_supermarket_sales___Sheet13[[#This Row],[Selling Price]]-Table_supermarket_sales___Sheet13[[#This Row],[Cost Price]]</f>
        <v>31.059999999999995</v>
      </c>
    </row>
    <row r="74" spans="1:6" x14ac:dyDescent="0.35">
      <c r="A74" s="3" t="s">
        <v>5</v>
      </c>
      <c r="B74" s="27">
        <v>48.52</v>
      </c>
      <c r="C74" s="1">
        <v>3</v>
      </c>
      <c r="D74" s="31">
        <f>Table_supermarket_sales___Sheet1[[#This Row],[Cost Price]]+Table57[[#This Row],[Markup Cost]]</f>
        <v>55.798000000000002</v>
      </c>
      <c r="E74" s="4">
        <v>3</v>
      </c>
      <c r="F74" s="20">
        <f>Table_supermarket_sales___Sheet13[[#This Row],[Selling Price]]-Table_supermarket_sales___Sheet13[[#This Row],[Cost Price]]</f>
        <v>7.2779999999999987</v>
      </c>
    </row>
    <row r="75" spans="1:6" x14ac:dyDescent="0.35">
      <c r="A75" s="3" t="s">
        <v>2</v>
      </c>
      <c r="B75" s="27">
        <v>75.91</v>
      </c>
      <c r="C75" s="1">
        <v>6</v>
      </c>
      <c r="D75" s="31">
        <f>Table_supermarket_sales___Sheet1[[#This Row],[Cost Price]]+Table57[[#This Row],[Markup Cost]]</f>
        <v>98.682999999999993</v>
      </c>
      <c r="E75" s="1">
        <v>6</v>
      </c>
      <c r="F75" s="20">
        <f>Table_supermarket_sales___Sheet13[[#This Row],[Selling Price]]-Table_supermarket_sales___Sheet13[[#This Row],[Cost Price]]</f>
        <v>22.772999999999996</v>
      </c>
    </row>
    <row r="76" spans="1:6" x14ac:dyDescent="0.35">
      <c r="A76" s="3" t="s">
        <v>3</v>
      </c>
      <c r="B76" s="27">
        <v>74.67</v>
      </c>
      <c r="C76" s="1">
        <v>9</v>
      </c>
      <c r="D76" s="31">
        <f>Table_supermarket_sales___Sheet1[[#This Row],[Cost Price]]+Table57[[#This Row],[Markup Cost]]</f>
        <v>108.2715</v>
      </c>
      <c r="E76" s="4">
        <v>9</v>
      </c>
      <c r="F76" s="20">
        <f>Table_supermarket_sales___Sheet13[[#This Row],[Selling Price]]-Table_supermarket_sales___Sheet13[[#This Row],[Cost Price]]</f>
        <v>33.601500000000001</v>
      </c>
    </row>
    <row r="77" spans="1:6" x14ac:dyDescent="0.35">
      <c r="A77" s="3" t="s">
        <v>2</v>
      </c>
      <c r="B77" s="27">
        <v>41.65</v>
      </c>
      <c r="C77" s="1">
        <v>10</v>
      </c>
      <c r="D77" s="31">
        <f>Table_supermarket_sales___Sheet1[[#This Row],[Cost Price]]+Table57[[#This Row],[Markup Cost]]</f>
        <v>62.474999999999994</v>
      </c>
      <c r="E77" s="1">
        <v>10</v>
      </c>
      <c r="F77" s="20">
        <f>Table_supermarket_sales___Sheet13[[#This Row],[Selling Price]]-Table_supermarket_sales___Sheet13[[#This Row],[Cost Price]]</f>
        <v>20.824999999999996</v>
      </c>
    </row>
    <row r="78" spans="1:6" x14ac:dyDescent="0.35">
      <c r="A78" s="3" t="s">
        <v>6</v>
      </c>
      <c r="B78" s="27">
        <v>49.04</v>
      </c>
      <c r="C78" s="1">
        <v>9</v>
      </c>
      <c r="D78" s="31">
        <f>Table_supermarket_sales___Sheet1[[#This Row],[Cost Price]]+Table57[[#This Row],[Markup Cost]]</f>
        <v>71.108000000000004</v>
      </c>
      <c r="E78" s="4">
        <v>9</v>
      </c>
      <c r="F78" s="20">
        <f>Table_supermarket_sales___Sheet13[[#This Row],[Selling Price]]-Table_supermarket_sales___Sheet13[[#This Row],[Cost Price]]</f>
        <v>22.068000000000005</v>
      </c>
    </row>
    <row r="79" spans="1:6" x14ac:dyDescent="0.35">
      <c r="A79" s="3" t="s">
        <v>6</v>
      </c>
      <c r="B79" s="27">
        <v>20.010000000000002</v>
      </c>
      <c r="C79" s="1">
        <v>9</v>
      </c>
      <c r="D79" s="31">
        <f>Table_supermarket_sales___Sheet1[[#This Row],[Cost Price]]+Table57[[#This Row],[Markup Cost]]</f>
        <v>29.014500000000002</v>
      </c>
      <c r="E79" s="1">
        <v>9</v>
      </c>
      <c r="F79" s="20">
        <f>Table_supermarket_sales___Sheet13[[#This Row],[Selling Price]]-Table_supermarket_sales___Sheet13[[#This Row],[Cost Price]]</f>
        <v>9.0045000000000002</v>
      </c>
    </row>
    <row r="80" spans="1:6" x14ac:dyDescent="0.35">
      <c r="A80" s="3" t="s">
        <v>5</v>
      </c>
      <c r="B80" s="27">
        <v>78.31</v>
      </c>
      <c r="C80" s="1">
        <v>10</v>
      </c>
      <c r="D80" s="31">
        <f>Table_supermarket_sales___Sheet1[[#This Row],[Cost Price]]+Table57[[#This Row],[Markup Cost]]</f>
        <v>117.465</v>
      </c>
      <c r="E80" s="4">
        <v>10</v>
      </c>
      <c r="F80" s="20">
        <f>Table_supermarket_sales___Sheet13[[#This Row],[Selling Price]]-Table_supermarket_sales___Sheet13[[#This Row],[Cost Price]]</f>
        <v>39.155000000000001</v>
      </c>
    </row>
    <row r="81" spans="1:6" x14ac:dyDescent="0.35">
      <c r="A81" s="3" t="s">
        <v>1</v>
      </c>
      <c r="B81" s="27">
        <v>20.38</v>
      </c>
      <c r="C81" s="1">
        <v>5</v>
      </c>
      <c r="D81" s="31">
        <f>Table_supermarket_sales___Sheet1[[#This Row],[Cost Price]]+Table57[[#This Row],[Markup Cost]]</f>
        <v>25.474999999999998</v>
      </c>
      <c r="E81" s="1">
        <v>5</v>
      </c>
      <c r="F81" s="20">
        <f>Table_supermarket_sales___Sheet13[[#This Row],[Selling Price]]-Table_supermarket_sales___Sheet13[[#This Row],[Cost Price]]</f>
        <v>5.0949999999999989</v>
      </c>
    </row>
    <row r="82" spans="1:6" x14ac:dyDescent="0.35">
      <c r="A82" s="3" t="s">
        <v>1</v>
      </c>
      <c r="B82" s="27">
        <v>99.19</v>
      </c>
      <c r="C82" s="1">
        <v>6</v>
      </c>
      <c r="D82" s="31">
        <f>Table_supermarket_sales___Sheet1[[#This Row],[Cost Price]]+Table57[[#This Row],[Markup Cost]]</f>
        <v>128.947</v>
      </c>
      <c r="E82" s="4">
        <v>6</v>
      </c>
      <c r="F82" s="20">
        <f>Table_supermarket_sales___Sheet13[[#This Row],[Selling Price]]-Table_supermarket_sales___Sheet13[[#This Row],[Cost Price]]</f>
        <v>29.757000000000005</v>
      </c>
    </row>
    <row r="83" spans="1:6" x14ac:dyDescent="0.35">
      <c r="A83" s="3" t="s">
        <v>5</v>
      </c>
      <c r="B83" s="27">
        <v>96.68</v>
      </c>
      <c r="C83" s="1">
        <v>3</v>
      </c>
      <c r="D83" s="31">
        <f>Table_supermarket_sales___Sheet1[[#This Row],[Cost Price]]+Table57[[#This Row],[Markup Cost]]</f>
        <v>111.182</v>
      </c>
      <c r="E83" s="1">
        <v>3</v>
      </c>
      <c r="F83" s="20">
        <f>Table_supermarket_sales___Sheet13[[#This Row],[Selling Price]]-Table_supermarket_sales___Sheet13[[#This Row],[Cost Price]]</f>
        <v>14.501999999999995</v>
      </c>
    </row>
    <row r="84" spans="1:6" x14ac:dyDescent="0.35">
      <c r="A84" s="3" t="s">
        <v>5</v>
      </c>
      <c r="B84" s="27">
        <v>19.25</v>
      </c>
      <c r="C84" s="1">
        <v>8</v>
      </c>
      <c r="D84" s="31">
        <f>Table_supermarket_sales___Sheet1[[#This Row],[Cost Price]]+Table57[[#This Row],[Markup Cost]]</f>
        <v>26.95</v>
      </c>
      <c r="E84" s="4">
        <v>8</v>
      </c>
      <c r="F84" s="20">
        <f>Table_supermarket_sales___Sheet13[[#This Row],[Selling Price]]-Table_supermarket_sales___Sheet13[[#This Row],[Cost Price]]</f>
        <v>7.6999999999999993</v>
      </c>
    </row>
    <row r="85" spans="1:6" x14ac:dyDescent="0.35">
      <c r="A85" s="3" t="s">
        <v>5</v>
      </c>
      <c r="B85" s="27">
        <v>80.36</v>
      </c>
      <c r="C85" s="1">
        <v>4</v>
      </c>
      <c r="D85" s="31">
        <f>Table_supermarket_sales___Sheet1[[#This Row],[Cost Price]]+Table57[[#This Row],[Markup Cost]]</f>
        <v>96.432000000000002</v>
      </c>
      <c r="E85" s="1">
        <v>4</v>
      </c>
      <c r="F85" s="20">
        <f>Table_supermarket_sales___Sheet13[[#This Row],[Selling Price]]-Table_supermarket_sales___Sheet13[[#This Row],[Cost Price]]</f>
        <v>16.072000000000003</v>
      </c>
    </row>
    <row r="86" spans="1:6" x14ac:dyDescent="0.35">
      <c r="A86" s="3" t="s">
        <v>4</v>
      </c>
      <c r="B86" s="27">
        <v>48.91</v>
      </c>
      <c r="C86" s="1">
        <v>5</v>
      </c>
      <c r="D86" s="31">
        <f>Table_supermarket_sales___Sheet1[[#This Row],[Cost Price]]+Table57[[#This Row],[Markup Cost]]</f>
        <v>61.137499999999996</v>
      </c>
      <c r="E86" s="4">
        <v>5</v>
      </c>
      <c r="F86" s="20">
        <f>Table_supermarket_sales___Sheet13[[#This Row],[Selling Price]]-Table_supermarket_sales___Sheet13[[#This Row],[Cost Price]]</f>
        <v>12.227499999999999</v>
      </c>
    </row>
    <row r="87" spans="1:6" x14ac:dyDescent="0.35">
      <c r="A87" s="3" t="s">
        <v>4</v>
      </c>
      <c r="B87" s="27">
        <v>83.06</v>
      </c>
      <c r="C87" s="1">
        <v>7</v>
      </c>
      <c r="D87" s="31">
        <f>Table_supermarket_sales___Sheet1[[#This Row],[Cost Price]]+Table57[[#This Row],[Markup Cost]]</f>
        <v>112.131</v>
      </c>
      <c r="E87" s="1">
        <v>7</v>
      </c>
      <c r="F87" s="20">
        <f>Table_supermarket_sales___Sheet13[[#This Row],[Selling Price]]-Table_supermarket_sales___Sheet13[[#This Row],[Cost Price]]</f>
        <v>29.070999999999998</v>
      </c>
    </row>
    <row r="88" spans="1:6" x14ac:dyDescent="0.35">
      <c r="A88" s="3" t="s">
        <v>6</v>
      </c>
      <c r="B88" s="27">
        <v>76.52</v>
      </c>
      <c r="C88" s="1">
        <v>5</v>
      </c>
      <c r="D88" s="31">
        <f>Table_supermarket_sales___Sheet1[[#This Row],[Cost Price]]+Table57[[#This Row],[Markup Cost]]</f>
        <v>95.649999999999991</v>
      </c>
      <c r="E88" s="4">
        <v>5</v>
      </c>
      <c r="F88" s="20">
        <f>Table_supermarket_sales___Sheet13[[#This Row],[Selling Price]]-Table_supermarket_sales___Sheet13[[#This Row],[Cost Price]]</f>
        <v>19.129999999999995</v>
      </c>
    </row>
    <row r="89" spans="1:6" x14ac:dyDescent="0.35">
      <c r="A89" s="3" t="s">
        <v>5</v>
      </c>
      <c r="B89" s="27">
        <v>49.38</v>
      </c>
      <c r="C89" s="1">
        <v>7</v>
      </c>
      <c r="D89" s="31">
        <f>Table_supermarket_sales___Sheet1[[#This Row],[Cost Price]]+Table57[[#This Row],[Markup Cost]]</f>
        <v>66.663000000000011</v>
      </c>
      <c r="E89" s="1">
        <v>7</v>
      </c>
      <c r="F89" s="20">
        <f>Table_supermarket_sales___Sheet13[[#This Row],[Selling Price]]-Table_supermarket_sales___Sheet13[[#This Row],[Cost Price]]</f>
        <v>17.283000000000008</v>
      </c>
    </row>
    <row r="90" spans="1:6" x14ac:dyDescent="0.35">
      <c r="A90" s="3" t="s">
        <v>4</v>
      </c>
      <c r="B90" s="27">
        <v>42.47</v>
      </c>
      <c r="C90" s="1">
        <v>1</v>
      </c>
      <c r="D90" s="31">
        <f>Table_supermarket_sales___Sheet1[[#This Row],[Cost Price]]+Table57[[#This Row],[Markup Cost]]</f>
        <v>44.593499999999999</v>
      </c>
      <c r="E90" s="4">
        <v>1</v>
      </c>
      <c r="F90" s="20">
        <f>Table_supermarket_sales___Sheet13[[#This Row],[Selling Price]]-Table_supermarket_sales___Sheet13[[#This Row],[Cost Price]]</f>
        <v>2.1234999999999999</v>
      </c>
    </row>
    <row r="91" spans="1:6" x14ac:dyDescent="0.35">
      <c r="A91" s="3" t="s">
        <v>1</v>
      </c>
      <c r="B91" s="27">
        <v>76.989999999999995</v>
      </c>
      <c r="C91" s="1">
        <v>6</v>
      </c>
      <c r="D91" s="31">
        <f>Table_supermarket_sales___Sheet1[[#This Row],[Cost Price]]+Table57[[#This Row],[Markup Cost]]</f>
        <v>100.08699999999999</v>
      </c>
      <c r="E91" s="1">
        <v>6</v>
      </c>
      <c r="F91" s="20">
        <f>Table_supermarket_sales___Sheet13[[#This Row],[Selling Price]]-Table_supermarket_sales___Sheet13[[#This Row],[Cost Price]]</f>
        <v>23.096999999999994</v>
      </c>
    </row>
    <row r="92" spans="1:6" x14ac:dyDescent="0.35">
      <c r="A92" s="3" t="s">
        <v>3</v>
      </c>
      <c r="B92" s="27">
        <v>47.38</v>
      </c>
      <c r="C92" s="1">
        <v>4</v>
      </c>
      <c r="D92" s="31">
        <f>Table_supermarket_sales___Sheet1[[#This Row],[Cost Price]]+Table57[[#This Row],[Markup Cost]]</f>
        <v>56.856000000000002</v>
      </c>
      <c r="E92" s="4">
        <v>4</v>
      </c>
      <c r="F92" s="20">
        <f>Table_supermarket_sales___Sheet13[[#This Row],[Selling Price]]-Table_supermarket_sales___Sheet13[[#This Row],[Cost Price]]</f>
        <v>9.4759999999999991</v>
      </c>
    </row>
    <row r="93" spans="1:6" x14ac:dyDescent="0.35">
      <c r="A93" s="3" t="s">
        <v>4</v>
      </c>
      <c r="B93" s="27">
        <v>44.86</v>
      </c>
      <c r="C93" s="1">
        <v>10</v>
      </c>
      <c r="D93" s="31">
        <f>Table_supermarket_sales___Sheet1[[#This Row],[Cost Price]]+Table57[[#This Row],[Markup Cost]]</f>
        <v>67.289999999999992</v>
      </c>
      <c r="E93" s="1">
        <v>10</v>
      </c>
      <c r="F93" s="20">
        <f>Table_supermarket_sales___Sheet13[[#This Row],[Selling Price]]-Table_supermarket_sales___Sheet13[[#This Row],[Cost Price]]</f>
        <v>22.429999999999993</v>
      </c>
    </row>
    <row r="94" spans="1:6" x14ac:dyDescent="0.35">
      <c r="A94" s="3" t="s">
        <v>4</v>
      </c>
      <c r="B94" s="27">
        <v>21.98</v>
      </c>
      <c r="C94" s="1">
        <v>7</v>
      </c>
      <c r="D94" s="31">
        <f>Table_supermarket_sales___Sheet1[[#This Row],[Cost Price]]+Table57[[#This Row],[Markup Cost]]</f>
        <v>29.673000000000002</v>
      </c>
      <c r="E94" s="4">
        <v>7</v>
      </c>
      <c r="F94" s="20">
        <f>Table_supermarket_sales___Sheet13[[#This Row],[Selling Price]]-Table_supermarket_sales___Sheet13[[#This Row],[Cost Price]]</f>
        <v>7.6930000000000014</v>
      </c>
    </row>
    <row r="95" spans="1:6" x14ac:dyDescent="0.35">
      <c r="A95" s="3" t="s">
        <v>1</v>
      </c>
      <c r="B95" s="27">
        <v>64.36</v>
      </c>
      <c r="C95" s="1">
        <v>9</v>
      </c>
      <c r="D95" s="31">
        <f>Table_supermarket_sales___Sheet1[[#This Row],[Cost Price]]+Table57[[#This Row],[Markup Cost]]</f>
        <v>93.322000000000003</v>
      </c>
      <c r="E95" s="1">
        <v>9</v>
      </c>
      <c r="F95" s="20">
        <f>Table_supermarket_sales___Sheet13[[#This Row],[Selling Price]]-Table_supermarket_sales___Sheet13[[#This Row],[Cost Price]]</f>
        <v>28.962000000000003</v>
      </c>
    </row>
    <row r="96" spans="1:6" x14ac:dyDescent="0.35">
      <c r="A96" s="3" t="s">
        <v>1</v>
      </c>
      <c r="B96" s="27">
        <v>89.75</v>
      </c>
      <c r="C96" s="1">
        <v>1</v>
      </c>
      <c r="D96" s="31">
        <f>Table_supermarket_sales___Sheet1[[#This Row],[Cost Price]]+Table57[[#This Row],[Markup Cost]]</f>
        <v>94.237499999999997</v>
      </c>
      <c r="E96" s="4">
        <v>1</v>
      </c>
      <c r="F96" s="20">
        <f>Table_supermarket_sales___Sheet13[[#This Row],[Selling Price]]-Table_supermarket_sales___Sheet13[[#This Row],[Cost Price]]</f>
        <v>4.4874999999999972</v>
      </c>
    </row>
    <row r="97" spans="1:6" x14ac:dyDescent="0.35">
      <c r="A97" s="3" t="s">
        <v>2</v>
      </c>
      <c r="B97" s="27">
        <v>97.16</v>
      </c>
      <c r="C97" s="1">
        <v>1</v>
      </c>
      <c r="D97" s="31">
        <f>Table_supermarket_sales___Sheet1[[#This Row],[Cost Price]]+Table57[[#This Row],[Markup Cost]]</f>
        <v>102.018</v>
      </c>
      <c r="E97" s="1">
        <v>1</v>
      </c>
      <c r="F97" s="20">
        <f>Table_supermarket_sales___Sheet13[[#This Row],[Selling Price]]-Table_supermarket_sales___Sheet13[[#This Row],[Cost Price]]</f>
        <v>4.8580000000000041</v>
      </c>
    </row>
    <row r="98" spans="1:6" x14ac:dyDescent="0.35">
      <c r="A98" s="3" t="s">
        <v>1</v>
      </c>
      <c r="B98" s="27">
        <v>87.87</v>
      </c>
      <c r="C98" s="1">
        <v>10</v>
      </c>
      <c r="D98" s="31">
        <f>Table_supermarket_sales___Sheet1[[#This Row],[Cost Price]]+Table57[[#This Row],[Markup Cost]]</f>
        <v>131.80500000000001</v>
      </c>
      <c r="E98" s="4">
        <v>10</v>
      </c>
      <c r="F98" s="20">
        <f>Table_supermarket_sales___Sheet13[[#This Row],[Selling Price]]-Table_supermarket_sales___Sheet13[[#This Row],[Cost Price]]</f>
        <v>43.935000000000002</v>
      </c>
    </row>
    <row r="99" spans="1:6" x14ac:dyDescent="0.35">
      <c r="A99" s="3" t="s">
        <v>2</v>
      </c>
      <c r="B99" s="27">
        <v>12.45</v>
      </c>
      <c r="C99" s="1">
        <v>6</v>
      </c>
      <c r="D99" s="31">
        <f>Table_supermarket_sales___Sheet1[[#This Row],[Cost Price]]+Table57[[#This Row],[Markup Cost]]</f>
        <v>16.184999999999999</v>
      </c>
      <c r="E99" s="1">
        <v>6</v>
      </c>
      <c r="F99" s="20">
        <f>Table_supermarket_sales___Sheet13[[#This Row],[Selling Price]]-Table_supermarket_sales___Sheet13[[#This Row],[Cost Price]]</f>
        <v>3.7349999999999994</v>
      </c>
    </row>
    <row r="100" spans="1:6" x14ac:dyDescent="0.35">
      <c r="A100" s="3" t="s">
        <v>5</v>
      </c>
      <c r="B100" s="27">
        <v>52.75</v>
      </c>
      <c r="C100" s="1">
        <v>3</v>
      </c>
      <c r="D100" s="31">
        <f>Table_supermarket_sales___Sheet1[[#This Row],[Cost Price]]+Table57[[#This Row],[Markup Cost]]</f>
        <v>60.662500000000001</v>
      </c>
      <c r="E100" s="4">
        <v>3</v>
      </c>
      <c r="F100" s="20">
        <f>Table_supermarket_sales___Sheet13[[#This Row],[Selling Price]]-Table_supermarket_sales___Sheet13[[#This Row],[Cost Price]]</f>
        <v>7.9125000000000014</v>
      </c>
    </row>
    <row r="101" spans="1:6" x14ac:dyDescent="0.35">
      <c r="A101" s="3" t="s">
        <v>3</v>
      </c>
      <c r="B101" s="27">
        <v>82.7</v>
      </c>
      <c r="C101" s="1">
        <v>6</v>
      </c>
      <c r="D101" s="31">
        <f>Table_supermarket_sales___Sheet1[[#This Row],[Cost Price]]+Table57[[#This Row],[Markup Cost]]</f>
        <v>107.51</v>
      </c>
      <c r="E101" s="1">
        <v>6</v>
      </c>
      <c r="F101" s="20">
        <f>Table_supermarket_sales___Sheet13[[#This Row],[Selling Price]]-Table_supermarket_sales___Sheet13[[#This Row],[Cost Price]]</f>
        <v>24.810000000000002</v>
      </c>
    </row>
    <row r="102" spans="1:6" x14ac:dyDescent="0.35">
      <c r="A102" s="3" t="s">
        <v>6</v>
      </c>
      <c r="B102" s="27">
        <v>48.71</v>
      </c>
      <c r="C102" s="1">
        <v>1</v>
      </c>
      <c r="D102" s="31">
        <f>Table_supermarket_sales___Sheet1[[#This Row],[Cost Price]]+Table57[[#This Row],[Markup Cost]]</f>
        <v>51.145499999999998</v>
      </c>
      <c r="E102" s="4">
        <v>1</v>
      </c>
      <c r="F102" s="20">
        <f>Table_supermarket_sales___Sheet13[[#This Row],[Selling Price]]-Table_supermarket_sales___Sheet13[[#This Row],[Cost Price]]</f>
        <v>2.4354999999999976</v>
      </c>
    </row>
    <row r="103" spans="1:6" x14ac:dyDescent="0.35">
      <c r="A103" s="3" t="s">
        <v>6</v>
      </c>
      <c r="B103" s="27">
        <v>78.55</v>
      </c>
      <c r="C103" s="1">
        <v>9</v>
      </c>
      <c r="D103" s="31">
        <f>Table_supermarket_sales___Sheet1[[#This Row],[Cost Price]]+Table57[[#This Row],[Markup Cost]]</f>
        <v>113.89749999999999</v>
      </c>
      <c r="E103" s="1">
        <v>9</v>
      </c>
      <c r="F103" s="20">
        <f>Table_supermarket_sales___Sheet13[[#This Row],[Selling Price]]-Table_supermarket_sales___Sheet13[[#This Row],[Cost Price]]</f>
        <v>35.347499999999997</v>
      </c>
    </row>
    <row r="104" spans="1:6" x14ac:dyDescent="0.35">
      <c r="A104" s="3" t="s">
        <v>2</v>
      </c>
      <c r="B104" s="27">
        <v>23.07</v>
      </c>
      <c r="C104" s="1">
        <v>9</v>
      </c>
      <c r="D104" s="31">
        <f>Table_supermarket_sales___Sheet1[[#This Row],[Cost Price]]+Table57[[#This Row],[Markup Cost]]</f>
        <v>33.451500000000003</v>
      </c>
      <c r="E104" s="4">
        <v>9</v>
      </c>
      <c r="F104" s="20">
        <f>Table_supermarket_sales___Sheet13[[#This Row],[Selling Price]]-Table_supermarket_sales___Sheet13[[#This Row],[Cost Price]]</f>
        <v>10.381500000000003</v>
      </c>
    </row>
    <row r="105" spans="1:6" x14ac:dyDescent="0.35">
      <c r="A105" s="3" t="s">
        <v>5</v>
      </c>
      <c r="B105" s="27">
        <v>58.26</v>
      </c>
      <c r="C105" s="1">
        <v>6</v>
      </c>
      <c r="D105" s="31">
        <f>Table_supermarket_sales___Sheet1[[#This Row],[Cost Price]]+Table57[[#This Row],[Markup Cost]]</f>
        <v>75.738</v>
      </c>
      <c r="E105" s="1">
        <v>6</v>
      </c>
      <c r="F105" s="20">
        <f>Table_supermarket_sales___Sheet13[[#This Row],[Selling Price]]-Table_supermarket_sales___Sheet13[[#This Row],[Cost Price]]</f>
        <v>17.478000000000002</v>
      </c>
    </row>
    <row r="106" spans="1:6" x14ac:dyDescent="0.35">
      <c r="A106" s="3" t="s">
        <v>1</v>
      </c>
      <c r="B106" s="27">
        <v>30.35</v>
      </c>
      <c r="C106" s="1">
        <v>7</v>
      </c>
      <c r="D106" s="31">
        <f>Table_supermarket_sales___Sheet1[[#This Row],[Cost Price]]+Table57[[#This Row],[Markup Cost]]</f>
        <v>40.972500000000004</v>
      </c>
      <c r="E106" s="4">
        <v>7</v>
      </c>
      <c r="F106" s="20">
        <f>Table_supermarket_sales___Sheet13[[#This Row],[Selling Price]]-Table_supermarket_sales___Sheet13[[#This Row],[Cost Price]]</f>
        <v>10.622500000000002</v>
      </c>
    </row>
    <row r="107" spans="1:6" x14ac:dyDescent="0.35">
      <c r="A107" s="3" t="s">
        <v>2</v>
      </c>
      <c r="B107" s="27">
        <v>88.67</v>
      </c>
      <c r="C107" s="1">
        <v>10</v>
      </c>
      <c r="D107" s="31">
        <f>Table_supermarket_sales___Sheet1[[#This Row],[Cost Price]]+Table57[[#This Row],[Markup Cost]]</f>
        <v>133.005</v>
      </c>
      <c r="E107" s="1">
        <v>10</v>
      </c>
      <c r="F107" s="20">
        <f>Table_supermarket_sales___Sheet13[[#This Row],[Selling Price]]-Table_supermarket_sales___Sheet13[[#This Row],[Cost Price]]</f>
        <v>44.334999999999994</v>
      </c>
    </row>
    <row r="108" spans="1:6" x14ac:dyDescent="0.35">
      <c r="A108" s="3" t="s">
        <v>6</v>
      </c>
      <c r="B108" s="27">
        <v>27.38</v>
      </c>
      <c r="C108" s="1">
        <v>6</v>
      </c>
      <c r="D108" s="31">
        <f>Table_supermarket_sales___Sheet1[[#This Row],[Cost Price]]+Table57[[#This Row],[Markup Cost]]</f>
        <v>35.594000000000001</v>
      </c>
      <c r="E108" s="4">
        <v>6</v>
      </c>
      <c r="F108" s="20">
        <f>Table_supermarket_sales___Sheet13[[#This Row],[Selling Price]]-Table_supermarket_sales___Sheet13[[#This Row],[Cost Price]]</f>
        <v>8.2140000000000022</v>
      </c>
    </row>
    <row r="109" spans="1:6" x14ac:dyDescent="0.35">
      <c r="A109" s="3" t="s">
        <v>4</v>
      </c>
      <c r="B109" s="27">
        <v>62.13</v>
      </c>
      <c r="C109" s="1">
        <v>6</v>
      </c>
      <c r="D109" s="31">
        <f>Table_supermarket_sales___Sheet1[[#This Row],[Cost Price]]+Table57[[#This Row],[Markup Cost]]</f>
        <v>80.769000000000005</v>
      </c>
      <c r="E109" s="1">
        <v>6</v>
      </c>
      <c r="F109" s="20">
        <f>Table_supermarket_sales___Sheet13[[#This Row],[Selling Price]]-Table_supermarket_sales___Sheet13[[#This Row],[Cost Price]]</f>
        <v>18.639000000000003</v>
      </c>
    </row>
    <row r="110" spans="1:6" x14ac:dyDescent="0.35">
      <c r="A110" s="3" t="s">
        <v>5</v>
      </c>
      <c r="B110" s="27">
        <v>33.979999999999997</v>
      </c>
      <c r="C110" s="1">
        <v>9</v>
      </c>
      <c r="D110" s="31">
        <f>Table_supermarket_sales___Sheet1[[#This Row],[Cost Price]]+Table57[[#This Row],[Markup Cost]]</f>
        <v>49.271000000000001</v>
      </c>
      <c r="E110" s="4">
        <v>9</v>
      </c>
      <c r="F110" s="20">
        <f>Table_supermarket_sales___Sheet13[[#This Row],[Selling Price]]-Table_supermarket_sales___Sheet13[[#This Row],[Cost Price]]</f>
        <v>15.291000000000004</v>
      </c>
    </row>
    <row r="111" spans="1:6" x14ac:dyDescent="0.35">
      <c r="A111" s="3" t="s">
        <v>2</v>
      </c>
      <c r="B111" s="27">
        <v>81.97</v>
      </c>
      <c r="C111" s="1">
        <v>10</v>
      </c>
      <c r="D111" s="31">
        <f>Table_supermarket_sales___Sheet1[[#This Row],[Cost Price]]+Table57[[#This Row],[Markup Cost]]</f>
        <v>122.955</v>
      </c>
      <c r="E111" s="1">
        <v>10</v>
      </c>
      <c r="F111" s="20">
        <f>Table_supermarket_sales___Sheet13[[#This Row],[Selling Price]]-Table_supermarket_sales___Sheet13[[#This Row],[Cost Price]]</f>
        <v>40.984999999999999</v>
      </c>
    </row>
    <row r="112" spans="1:6" x14ac:dyDescent="0.35">
      <c r="A112" s="3" t="s">
        <v>4</v>
      </c>
      <c r="B112" s="27">
        <v>16.489999999999998</v>
      </c>
      <c r="C112" s="1">
        <v>2</v>
      </c>
      <c r="D112" s="31">
        <f>Table_supermarket_sales___Sheet1[[#This Row],[Cost Price]]+Table57[[#This Row],[Markup Cost]]</f>
        <v>18.138999999999999</v>
      </c>
      <c r="E112" s="4">
        <v>2</v>
      </c>
      <c r="F112" s="20">
        <f>Table_supermarket_sales___Sheet13[[#This Row],[Selling Price]]-Table_supermarket_sales___Sheet13[[#This Row],[Cost Price]]</f>
        <v>1.6490000000000009</v>
      </c>
    </row>
    <row r="113" spans="1:6" x14ac:dyDescent="0.35">
      <c r="A113" s="3" t="s">
        <v>1</v>
      </c>
      <c r="B113" s="27">
        <v>98.21</v>
      </c>
      <c r="C113" s="1">
        <v>3</v>
      </c>
      <c r="D113" s="31">
        <f>Table_supermarket_sales___Sheet1[[#This Row],[Cost Price]]+Table57[[#This Row],[Markup Cost]]</f>
        <v>112.94149999999999</v>
      </c>
      <c r="E113" s="1">
        <v>3</v>
      </c>
      <c r="F113" s="20">
        <f>Table_supermarket_sales___Sheet13[[#This Row],[Selling Price]]-Table_supermarket_sales___Sheet13[[#This Row],[Cost Price]]</f>
        <v>14.731499999999997</v>
      </c>
    </row>
    <row r="114" spans="1:6" x14ac:dyDescent="0.35">
      <c r="A114" s="3" t="s">
        <v>6</v>
      </c>
      <c r="B114" s="27">
        <v>72.84</v>
      </c>
      <c r="C114" s="1">
        <v>7</v>
      </c>
      <c r="D114" s="31">
        <f>Table_supermarket_sales___Sheet1[[#This Row],[Cost Price]]+Table57[[#This Row],[Markup Cost]]</f>
        <v>98.334000000000003</v>
      </c>
      <c r="E114" s="4">
        <v>7</v>
      </c>
      <c r="F114" s="20">
        <f>Table_supermarket_sales___Sheet13[[#This Row],[Selling Price]]-Table_supermarket_sales___Sheet13[[#This Row],[Cost Price]]</f>
        <v>25.494</v>
      </c>
    </row>
    <row r="115" spans="1:6" x14ac:dyDescent="0.35">
      <c r="A115" s="3" t="s">
        <v>3</v>
      </c>
      <c r="B115" s="27">
        <v>58.07</v>
      </c>
      <c r="C115" s="1">
        <v>9</v>
      </c>
      <c r="D115" s="31">
        <f>Table_supermarket_sales___Sheet1[[#This Row],[Cost Price]]+Table57[[#This Row],[Markup Cost]]</f>
        <v>84.201499999999996</v>
      </c>
      <c r="E115" s="1">
        <v>9</v>
      </c>
      <c r="F115" s="20">
        <f>Table_supermarket_sales___Sheet13[[#This Row],[Selling Price]]-Table_supermarket_sales___Sheet13[[#This Row],[Cost Price]]</f>
        <v>26.131499999999996</v>
      </c>
    </row>
    <row r="116" spans="1:6" x14ac:dyDescent="0.35">
      <c r="A116" s="3" t="s">
        <v>3</v>
      </c>
      <c r="B116" s="27">
        <v>80.790000000000006</v>
      </c>
      <c r="C116" s="1">
        <v>9</v>
      </c>
      <c r="D116" s="31">
        <f>Table_supermarket_sales___Sheet1[[#This Row],[Cost Price]]+Table57[[#This Row],[Markup Cost]]</f>
        <v>117.1455</v>
      </c>
      <c r="E116" s="4">
        <v>9</v>
      </c>
      <c r="F116" s="20">
        <f>Table_supermarket_sales___Sheet13[[#This Row],[Selling Price]]-Table_supermarket_sales___Sheet13[[#This Row],[Cost Price]]</f>
        <v>36.355499999999992</v>
      </c>
    </row>
    <row r="117" spans="1:6" x14ac:dyDescent="0.35">
      <c r="A117" s="3" t="s">
        <v>6</v>
      </c>
      <c r="B117" s="27">
        <v>27.02</v>
      </c>
      <c r="C117" s="1">
        <v>3</v>
      </c>
      <c r="D117" s="31">
        <f>Table_supermarket_sales___Sheet1[[#This Row],[Cost Price]]+Table57[[#This Row],[Markup Cost]]</f>
        <v>31.073</v>
      </c>
      <c r="E117" s="1">
        <v>3</v>
      </c>
      <c r="F117" s="20">
        <f>Table_supermarket_sales___Sheet13[[#This Row],[Selling Price]]-Table_supermarket_sales___Sheet13[[#This Row],[Cost Price]]</f>
        <v>4.0530000000000008</v>
      </c>
    </row>
    <row r="118" spans="1:6" x14ac:dyDescent="0.35">
      <c r="A118" s="3" t="s">
        <v>6</v>
      </c>
      <c r="B118" s="27">
        <v>21.94</v>
      </c>
      <c r="C118" s="1">
        <v>5</v>
      </c>
      <c r="D118" s="31">
        <f>Table_supermarket_sales___Sheet1[[#This Row],[Cost Price]]+Table57[[#This Row],[Markup Cost]]</f>
        <v>27.425000000000001</v>
      </c>
      <c r="E118" s="4">
        <v>5</v>
      </c>
      <c r="F118" s="20">
        <f>Table_supermarket_sales___Sheet13[[#This Row],[Selling Price]]-Table_supermarket_sales___Sheet13[[#This Row],[Cost Price]]</f>
        <v>5.4849999999999994</v>
      </c>
    </row>
    <row r="119" spans="1:6" x14ac:dyDescent="0.35">
      <c r="A119" s="3" t="s">
        <v>6</v>
      </c>
      <c r="B119" s="27">
        <v>51.36</v>
      </c>
      <c r="C119" s="1">
        <v>1</v>
      </c>
      <c r="D119" s="31">
        <f>Table_supermarket_sales___Sheet1[[#This Row],[Cost Price]]+Table57[[#This Row],[Markup Cost]]</f>
        <v>53.927999999999997</v>
      </c>
      <c r="E119" s="1">
        <v>1</v>
      </c>
      <c r="F119" s="20">
        <f>Table_supermarket_sales___Sheet13[[#This Row],[Selling Price]]-Table_supermarket_sales___Sheet13[[#This Row],[Cost Price]]</f>
        <v>2.5679999999999978</v>
      </c>
    </row>
    <row r="120" spans="1:6" x14ac:dyDescent="0.35">
      <c r="A120" s="3" t="s">
        <v>5</v>
      </c>
      <c r="B120" s="27">
        <v>10.96</v>
      </c>
      <c r="C120" s="1">
        <v>10</v>
      </c>
      <c r="D120" s="31">
        <f>Table_supermarket_sales___Sheet1[[#This Row],[Cost Price]]+Table57[[#This Row],[Markup Cost]]</f>
        <v>16.440000000000001</v>
      </c>
      <c r="E120" s="4">
        <v>10</v>
      </c>
      <c r="F120" s="20">
        <f>Table_supermarket_sales___Sheet13[[#This Row],[Selling Price]]-Table_supermarket_sales___Sheet13[[#This Row],[Cost Price]]</f>
        <v>5.48</v>
      </c>
    </row>
    <row r="121" spans="1:6" x14ac:dyDescent="0.35">
      <c r="A121" s="3" t="s">
        <v>3</v>
      </c>
      <c r="B121" s="27">
        <v>53.44</v>
      </c>
      <c r="C121" s="1">
        <v>2</v>
      </c>
      <c r="D121" s="31">
        <f>Table_supermarket_sales___Sheet1[[#This Row],[Cost Price]]+Table57[[#This Row],[Markup Cost]]</f>
        <v>58.783999999999999</v>
      </c>
      <c r="E121" s="1">
        <v>2</v>
      </c>
      <c r="F121" s="20">
        <f>Table_supermarket_sales___Sheet13[[#This Row],[Selling Price]]-Table_supermarket_sales___Sheet13[[#This Row],[Cost Price]]</f>
        <v>5.3440000000000012</v>
      </c>
    </row>
    <row r="122" spans="1:6" x14ac:dyDescent="0.35">
      <c r="A122" s="3" t="s">
        <v>2</v>
      </c>
      <c r="B122" s="27">
        <v>99.56</v>
      </c>
      <c r="C122" s="1">
        <v>8</v>
      </c>
      <c r="D122" s="31">
        <f>Table_supermarket_sales___Sheet1[[#This Row],[Cost Price]]+Table57[[#This Row],[Markup Cost]]</f>
        <v>139.38400000000001</v>
      </c>
      <c r="E122" s="4">
        <v>8</v>
      </c>
      <c r="F122" s="20">
        <f>Table_supermarket_sales___Sheet13[[#This Row],[Selling Price]]-Table_supermarket_sales___Sheet13[[#This Row],[Cost Price]]</f>
        <v>39.824000000000012</v>
      </c>
    </row>
    <row r="123" spans="1:6" x14ac:dyDescent="0.35">
      <c r="A123" s="3" t="s">
        <v>4</v>
      </c>
      <c r="B123" s="27">
        <v>57.12</v>
      </c>
      <c r="C123" s="1">
        <v>7</v>
      </c>
      <c r="D123" s="31">
        <f>Table_supermarket_sales___Sheet1[[#This Row],[Cost Price]]+Table57[[#This Row],[Markup Cost]]</f>
        <v>77.111999999999995</v>
      </c>
      <c r="E123" s="1">
        <v>7</v>
      </c>
      <c r="F123" s="20">
        <f>Table_supermarket_sales___Sheet13[[#This Row],[Selling Price]]-Table_supermarket_sales___Sheet13[[#This Row],[Cost Price]]</f>
        <v>19.991999999999997</v>
      </c>
    </row>
    <row r="124" spans="1:6" x14ac:dyDescent="0.35">
      <c r="A124" s="3" t="s">
        <v>4</v>
      </c>
      <c r="B124" s="27">
        <v>99.96</v>
      </c>
      <c r="C124" s="1">
        <v>9</v>
      </c>
      <c r="D124" s="31">
        <f>Table_supermarket_sales___Sheet1[[#This Row],[Cost Price]]+Table57[[#This Row],[Markup Cost]]</f>
        <v>144.94200000000001</v>
      </c>
      <c r="E124" s="4">
        <v>9</v>
      </c>
      <c r="F124" s="20">
        <f>Table_supermarket_sales___Sheet13[[#This Row],[Selling Price]]-Table_supermarket_sales___Sheet13[[#This Row],[Cost Price]]</f>
        <v>44.982000000000014</v>
      </c>
    </row>
    <row r="125" spans="1:6" x14ac:dyDescent="0.35">
      <c r="A125" s="3" t="s">
        <v>3</v>
      </c>
      <c r="B125" s="27">
        <v>63.91</v>
      </c>
      <c r="C125" s="1">
        <v>8</v>
      </c>
      <c r="D125" s="31">
        <f>Table_supermarket_sales___Sheet1[[#This Row],[Cost Price]]+Table57[[#This Row],[Markup Cost]]</f>
        <v>89.47399999999999</v>
      </c>
      <c r="E125" s="1">
        <v>8</v>
      </c>
      <c r="F125" s="20">
        <f>Table_supermarket_sales___Sheet13[[#This Row],[Selling Price]]-Table_supermarket_sales___Sheet13[[#This Row],[Cost Price]]</f>
        <v>25.563999999999993</v>
      </c>
    </row>
    <row r="126" spans="1:6" x14ac:dyDescent="0.35">
      <c r="A126" s="3" t="s">
        <v>6</v>
      </c>
      <c r="B126" s="27">
        <v>56.47</v>
      </c>
      <c r="C126" s="1">
        <v>8</v>
      </c>
      <c r="D126" s="31">
        <f>Table_supermarket_sales___Sheet1[[#This Row],[Cost Price]]+Table57[[#This Row],[Markup Cost]]</f>
        <v>79.057999999999993</v>
      </c>
      <c r="E126" s="4">
        <v>8</v>
      </c>
      <c r="F126" s="20">
        <f>Table_supermarket_sales___Sheet13[[#This Row],[Selling Price]]-Table_supermarket_sales___Sheet13[[#This Row],[Cost Price]]</f>
        <v>22.587999999999994</v>
      </c>
    </row>
    <row r="127" spans="1:6" x14ac:dyDescent="0.35">
      <c r="A127" s="3" t="s">
        <v>3</v>
      </c>
      <c r="B127" s="27">
        <v>93.69</v>
      </c>
      <c r="C127" s="1">
        <v>7</v>
      </c>
      <c r="D127" s="31">
        <f>Table_supermarket_sales___Sheet1[[#This Row],[Cost Price]]+Table57[[#This Row],[Markup Cost]]</f>
        <v>126.4815</v>
      </c>
      <c r="E127" s="1">
        <v>7</v>
      </c>
      <c r="F127" s="20">
        <f>Table_supermarket_sales___Sheet13[[#This Row],[Selling Price]]-Table_supermarket_sales___Sheet13[[#This Row],[Cost Price]]</f>
        <v>32.791499999999999</v>
      </c>
    </row>
    <row r="128" spans="1:6" x14ac:dyDescent="0.35">
      <c r="A128" s="3" t="s">
        <v>4</v>
      </c>
      <c r="B128" s="27">
        <v>32.25</v>
      </c>
      <c r="C128" s="1">
        <v>5</v>
      </c>
      <c r="D128" s="31">
        <f>Table_supermarket_sales___Sheet1[[#This Row],[Cost Price]]+Table57[[#This Row],[Markup Cost]]</f>
        <v>40.3125</v>
      </c>
      <c r="E128" s="4">
        <v>5</v>
      </c>
      <c r="F128" s="20">
        <f>Table_supermarket_sales___Sheet13[[#This Row],[Selling Price]]-Table_supermarket_sales___Sheet13[[#This Row],[Cost Price]]</f>
        <v>8.0625</v>
      </c>
    </row>
    <row r="129" spans="1:6" x14ac:dyDescent="0.35">
      <c r="A129" s="3" t="s">
        <v>6</v>
      </c>
      <c r="B129" s="27">
        <v>31.73</v>
      </c>
      <c r="C129" s="1">
        <v>9</v>
      </c>
      <c r="D129" s="31">
        <f>Table_supermarket_sales___Sheet1[[#This Row],[Cost Price]]+Table57[[#This Row],[Markup Cost]]</f>
        <v>46.008499999999998</v>
      </c>
      <c r="E129" s="1">
        <v>9</v>
      </c>
      <c r="F129" s="20">
        <f>Table_supermarket_sales___Sheet13[[#This Row],[Selling Price]]-Table_supermarket_sales___Sheet13[[#This Row],[Cost Price]]</f>
        <v>14.278499999999998</v>
      </c>
    </row>
    <row r="130" spans="1:6" x14ac:dyDescent="0.35">
      <c r="A130" s="3" t="s">
        <v>5</v>
      </c>
      <c r="B130" s="27">
        <v>68.540000000000006</v>
      </c>
      <c r="C130" s="1">
        <v>8</v>
      </c>
      <c r="D130" s="31">
        <f>Table_supermarket_sales___Sheet1[[#This Row],[Cost Price]]+Table57[[#This Row],[Markup Cost]]</f>
        <v>95.956000000000003</v>
      </c>
      <c r="E130" s="4">
        <v>8</v>
      </c>
      <c r="F130" s="20">
        <f>Table_supermarket_sales___Sheet13[[#This Row],[Selling Price]]-Table_supermarket_sales___Sheet13[[#This Row],[Cost Price]]</f>
        <v>27.415999999999997</v>
      </c>
    </row>
    <row r="131" spans="1:6" x14ac:dyDescent="0.35">
      <c r="A131" s="3" t="s">
        <v>4</v>
      </c>
      <c r="B131" s="27">
        <v>90.28</v>
      </c>
      <c r="C131" s="1">
        <v>9</v>
      </c>
      <c r="D131" s="31">
        <f>Table_supermarket_sales___Sheet1[[#This Row],[Cost Price]]+Table57[[#This Row],[Markup Cost]]</f>
        <v>130.90600000000001</v>
      </c>
      <c r="E131" s="1">
        <v>9</v>
      </c>
      <c r="F131" s="20">
        <f>Table_supermarket_sales___Sheet13[[#This Row],[Selling Price]]-Table_supermarket_sales___Sheet13[[#This Row],[Cost Price]]</f>
        <v>40.626000000000005</v>
      </c>
    </row>
    <row r="132" spans="1:6" x14ac:dyDescent="0.35">
      <c r="A132" s="3" t="s">
        <v>6</v>
      </c>
      <c r="B132" s="27">
        <v>39.619999999999997</v>
      </c>
      <c r="C132" s="1">
        <v>7</v>
      </c>
      <c r="D132" s="31">
        <f>Table_supermarket_sales___Sheet1[[#This Row],[Cost Price]]+Table57[[#This Row],[Markup Cost]]</f>
        <v>53.486999999999995</v>
      </c>
      <c r="E132" s="4">
        <v>7</v>
      </c>
      <c r="F132" s="20">
        <f>Table_supermarket_sales___Sheet13[[#This Row],[Selling Price]]-Table_supermarket_sales___Sheet13[[#This Row],[Cost Price]]</f>
        <v>13.866999999999997</v>
      </c>
    </row>
    <row r="133" spans="1:6" x14ac:dyDescent="0.35">
      <c r="A133" s="3" t="s">
        <v>4</v>
      </c>
      <c r="B133" s="27">
        <v>92.13</v>
      </c>
      <c r="C133" s="1">
        <v>6</v>
      </c>
      <c r="D133" s="31">
        <f>Table_supermarket_sales___Sheet1[[#This Row],[Cost Price]]+Table57[[#This Row],[Markup Cost]]</f>
        <v>119.76899999999999</v>
      </c>
      <c r="E133" s="1">
        <v>6</v>
      </c>
      <c r="F133" s="20">
        <f>Table_supermarket_sales___Sheet13[[#This Row],[Selling Price]]-Table_supermarket_sales___Sheet13[[#This Row],[Cost Price]]</f>
        <v>27.638999999999996</v>
      </c>
    </row>
    <row r="134" spans="1:6" x14ac:dyDescent="0.35">
      <c r="A134" s="3" t="s">
        <v>4</v>
      </c>
      <c r="B134" s="27">
        <v>34.840000000000003</v>
      </c>
      <c r="C134" s="1">
        <v>4</v>
      </c>
      <c r="D134" s="31">
        <f>Table_supermarket_sales___Sheet1[[#This Row],[Cost Price]]+Table57[[#This Row],[Markup Cost]]</f>
        <v>41.808000000000007</v>
      </c>
      <c r="E134" s="4">
        <v>4</v>
      </c>
      <c r="F134" s="20">
        <f>Table_supermarket_sales___Sheet13[[#This Row],[Selling Price]]-Table_supermarket_sales___Sheet13[[#This Row],[Cost Price]]</f>
        <v>6.9680000000000035</v>
      </c>
    </row>
    <row r="135" spans="1:6" x14ac:dyDescent="0.35">
      <c r="A135" s="3" t="s">
        <v>2</v>
      </c>
      <c r="B135" s="27">
        <v>87.45</v>
      </c>
      <c r="C135" s="1">
        <v>6</v>
      </c>
      <c r="D135" s="31">
        <f>Table_supermarket_sales___Sheet1[[#This Row],[Cost Price]]+Table57[[#This Row],[Markup Cost]]</f>
        <v>113.685</v>
      </c>
      <c r="E135" s="1">
        <v>6</v>
      </c>
      <c r="F135" s="20">
        <f>Table_supermarket_sales___Sheet13[[#This Row],[Selling Price]]-Table_supermarket_sales___Sheet13[[#This Row],[Cost Price]]</f>
        <v>26.234999999999999</v>
      </c>
    </row>
    <row r="136" spans="1:6" x14ac:dyDescent="0.35">
      <c r="A136" s="3" t="s">
        <v>1</v>
      </c>
      <c r="B136" s="27">
        <v>81.3</v>
      </c>
      <c r="C136" s="1">
        <v>6</v>
      </c>
      <c r="D136" s="31">
        <f>Table_supermarket_sales___Sheet1[[#This Row],[Cost Price]]+Table57[[#This Row],[Markup Cost]]</f>
        <v>105.69</v>
      </c>
      <c r="E136" s="4">
        <v>6</v>
      </c>
      <c r="F136" s="20">
        <f>Table_supermarket_sales___Sheet13[[#This Row],[Selling Price]]-Table_supermarket_sales___Sheet13[[#This Row],[Cost Price]]</f>
        <v>24.39</v>
      </c>
    </row>
    <row r="137" spans="1:6" x14ac:dyDescent="0.35">
      <c r="A137" s="3" t="s">
        <v>6</v>
      </c>
      <c r="B137" s="27">
        <v>90.22</v>
      </c>
      <c r="C137" s="1">
        <v>3</v>
      </c>
      <c r="D137" s="31">
        <f>Table_supermarket_sales___Sheet1[[#This Row],[Cost Price]]+Table57[[#This Row],[Markup Cost]]</f>
        <v>103.753</v>
      </c>
      <c r="E137" s="1">
        <v>3</v>
      </c>
      <c r="F137" s="20">
        <f>Table_supermarket_sales___Sheet13[[#This Row],[Selling Price]]-Table_supermarket_sales___Sheet13[[#This Row],[Cost Price]]</f>
        <v>13.533000000000001</v>
      </c>
    </row>
    <row r="138" spans="1:6" x14ac:dyDescent="0.35">
      <c r="A138" s="3" t="s">
        <v>2</v>
      </c>
      <c r="B138" s="27">
        <v>26.31</v>
      </c>
      <c r="C138" s="1">
        <v>5</v>
      </c>
      <c r="D138" s="31">
        <f>Table_supermarket_sales___Sheet1[[#This Row],[Cost Price]]+Table57[[#This Row],[Markup Cost]]</f>
        <v>32.887499999999996</v>
      </c>
      <c r="E138" s="4">
        <v>5</v>
      </c>
      <c r="F138" s="20">
        <f>Table_supermarket_sales___Sheet13[[#This Row],[Selling Price]]-Table_supermarket_sales___Sheet13[[#This Row],[Cost Price]]</f>
        <v>6.577499999999997</v>
      </c>
    </row>
    <row r="139" spans="1:6" x14ac:dyDescent="0.35">
      <c r="A139" s="3" t="s">
        <v>3</v>
      </c>
      <c r="B139" s="27">
        <v>34.42</v>
      </c>
      <c r="C139" s="1">
        <v>6</v>
      </c>
      <c r="D139" s="31">
        <f>Table_supermarket_sales___Sheet1[[#This Row],[Cost Price]]+Table57[[#This Row],[Markup Cost]]</f>
        <v>44.746000000000002</v>
      </c>
      <c r="E139" s="1">
        <v>6</v>
      </c>
      <c r="F139" s="20">
        <f>Table_supermarket_sales___Sheet13[[#This Row],[Selling Price]]-Table_supermarket_sales___Sheet13[[#This Row],[Cost Price]]</f>
        <v>10.326000000000001</v>
      </c>
    </row>
    <row r="140" spans="1:6" x14ac:dyDescent="0.35">
      <c r="A140" s="3" t="s">
        <v>4</v>
      </c>
      <c r="B140" s="27">
        <v>51.91</v>
      </c>
      <c r="C140" s="1">
        <v>10</v>
      </c>
      <c r="D140" s="31">
        <f>Table_supermarket_sales___Sheet1[[#This Row],[Cost Price]]+Table57[[#This Row],[Markup Cost]]</f>
        <v>77.864999999999995</v>
      </c>
      <c r="E140" s="4">
        <v>10</v>
      </c>
      <c r="F140" s="20">
        <f>Table_supermarket_sales___Sheet13[[#This Row],[Selling Price]]-Table_supermarket_sales___Sheet13[[#This Row],[Cost Price]]</f>
        <v>25.954999999999998</v>
      </c>
    </row>
    <row r="141" spans="1:6" x14ac:dyDescent="0.35">
      <c r="A141" s="3" t="s">
        <v>4</v>
      </c>
      <c r="B141" s="27">
        <v>72.5</v>
      </c>
      <c r="C141" s="1">
        <v>8</v>
      </c>
      <c r="D141" s="31">
        <f>Table_supermarket_sales___Sheet1[[#This Row],[Cost Price]]+Table57[[#This Row],[Markup Cost]]</f>
        <v>101.5</v>
      </c>
      <c r="E141" s="1">
        <v>8</v>
      </c>
      <c r="F141" s="20">
        <f>Table_supermarket_sales___Sheet13[[#This Row],[Selling Price]]-Table_supermarket_sales___Sheet13[[#This Row],[Cost Price]]</f>
        <v>29</v>
      </c>
    </row>
    <row r="142" spans="1:6" x14ac:dyDescent="0.35">
      <c r="A142" s="3" t="s">
        <v>4</v>
      </c>
      <c r="B142" s="27">
        <v>89.8</v>
      </c>
      <c r="C142" s="1">
        <v>10</v>
      </c>
      <c r="D142" s="31">
        <f>Table_supermarket_sales___Sheet1[[#This Row],[Cost Price]]+Table57[[#This Row],[Markup Cost]]</f>
        <v>134.69999999999999</v>
      </c>
      <c r="E142" s="4">
        <v>10</v>
      </c>
      <c r="F142" s="20">
        <f>Table_supermarket_sales___Sheet13[[#This Row],[Selling Price]]-Table_supermarket_sales___Sheet13[[#This Row],[Cost Price]]</f>
        <v>44.899999999999991</v>
      </c>
    </row>
    <row r="143" spans="1:6" x14ac:dyDescent="0.35">
      <c r="A143" s="3" t="s">
        <v>1</v>
      </c>
      <c r="B143" s="27">
        <v>90.5</v>
      </c>
      <c r="C143" s="1">
        <v>10</v>
      </c>
      <c r="D143" s="31">
        <f>Table_supermarket_sales___Sheet1[[#This Row],[Cost Price]]+Table57[[#This Row],[Markup Cost]]</f>
        <v>135.75</v>
      </c>
      <c r="E143" s="1">
        <v>10</v>
      </c>
      <c r="F143" s="20">
        <f>Table_supermarket_sales___Sheet13[[#This Row],[Selling Price]]-Table_supermarket_sales___Sheet13[[#This Row],[Cost Price]]</f>
        <v>45.25</v>
      </c>
    </row>
    <row r="144" spans="1:6" x14ac:dyDescent="0.35">
      <c r="A144" s="3" t="s">
        <v>1</v>
      </c>
      <c r="B144" s="27">
        <v>68.599999999999994</v>
      </c>
      <c r="C144" s="1">
        <v>10</v>
      </c>
      <c r="D144" s="31">
        <f>Table_supermarket_sales___Sheet1[[#This Row],[Cost Price]]+Table57[[#This Row],[Markup Cost]]</f>
        <v>102.89999999999999</v>
      </c>
      <c r="E144" s="4">
        <v>10</v>
      </c>
      <c r="F144" s="20">
        <f>Table_supermarket_sales___Sheet13[[#This Row],[Selling Price]]-Table_supermarket_sales___Sheet13[[#This Row],[Cost Price]]</f>
        <v>34.299999999999997</v>
      </c>
    </row>
    <row r="145" spans="1:6" x14ac:dyDescent="0.35">
      <c r="A145" s="3" t="s">
        <v>5</v>
      </c>
      <c r="B145" s="27">
        <v>30.41</v>
      </c>
      <c r="C145" s="1">
        <v>1</v>
      </c>
      <c r="D145" s="31">
        <f>Table_supermarket_sales___Sheet1[[#This Row],[Cost Price]]+Table57[[#This Row],[Markup Cost]]</f>
        <v>31.930499999999999</v>
      </c>
      <c r="E145" s="1">
        <v>1</v>
      </c>
      <c r="F145" s="20">
        <f>Table_supermarket_sales___Sheet13[[#This Row],[Selling Price]]-Table_supermarket_sales___Sheet13[[#This Row],[Cost Price]]</f>
        <v>1.5204999999999984</v>
      </c>
    </row>
    <row r="146" spans="1:6" x14ac:dyDescent="0.35">
      <c r="A146" s="3" t="s">
        <v>3</v>
      </c>
      <c r="B146" s="27">
        <v>77.95</v>
      </c>
      <c r="C146" s="1">
        <v>6</v>
      </c>
      <c r="D146" s="31">
        <f>Table_supermarket_sales___Sheet1[[#This Row],[Cost Price]]+Table57[[#This Row],[Markup Cost]]</f>
        <v>101.33500000000001</v>
      </c>
      <c r="E146" s="4">
        <v>6</v>
      </c>
      <c r="F146" s="20">
        <f>Table_supermarket_sales___Sheet13[[#This Row],[Selling Price]]-Table_supermarket_sales___Sheet13[[#This Row],[Cost Price]]</f>
        <v>23.385000000000005</v>
      </c>
    </row>
    <row r="147" spans="1:6" x14ac:dyDescent="0.35">
      <c r="A147" s="3" t="s">
        <v>1</v>
      </c>
      <c r="B147" s="27">
        <v>46.26</v>
      </c>
      <c r="C147" s="1">
        <v>6</v>
      </c>
      <c r="D147" s="31">
        <f>Table_supermarket_sales___Sheet1[[#This Row],[Cost Price]]+Table57[[#This Row],[Markup Cost]]</f>
        <v>60.137999999999998</v>
      </c>
      <c r="E147" s="1">
        <v>6</v>
      </c>
      <c r="F147" s="20">
        <f>Table_supermarket_sales___Sheet13[[#This Row],[Selling Price]]-Table_supermarket_sales___Sheet13[[#This Row],[Cost Price]]</f>
        <v>13.878</v>
      </c>
    </row>
    <row r="148" spans="1:6" x14ac:dyDescent="0.35">
      <c r="A148" s="3" t="s">
        <v>6</v>
      </c>
      <c r="B148" s="27">
        <v>30.14</v>
      </c>
      <c r="C148" s="1">
        <v>10</v>
      </c>
      <c r="D148" s="31">
        <f>Table_supermarket_sales___Sheet1[[#This Row],[Cost Price]]+Table57[[#This Row],[Markup Cost]]</f>
        <v>45.21</v>
      </c>
      <c r="E148" s="4">
        <v>10</v>
      </c>
      <c r="F148" s="20">
        <f>Table_supermarket_sales___Sheet13[[#This Row],[Selling Price]]-Table_supermarket_sales___Sheet13[[#This Row],[Cost Price]]</f>
        <v>15.07</v>
      </c>
    </row>
    <row r="149" spans="1:6" x14ac:dyDescent="0.35">
      <c r="A149" s="3" t="s">
        <v>1</v>
      </c>
      <c r="B149" s="27">
        <v>66.14</v>
      </c>
      <c r="C149" s="1">
        <v>4</v>
      </c>
      <c r="D149" s="31">
        <f>Table_supermarket_sales___Sheet1[[#This Row],[Cost Price]]+Table57[[#This Row],[Markup Cost]]</f>
        <v>79.367999999999995</v>
      </c>
      <c r="E149" s="1">
        <v>4</v>
      </c>
      <c r="F149" s="20">
        <f>Table_supermarket_sales___Sheet13[[#This Row],[Selling Price]]-Table_supermarket_sales___Sheet13[[#This Row],[Cost Price]]</f>
        <v>13.227999999999994</v>
      </c>
    </row>
    <row r="150" spans="1:6" x14ac:dyDescent="0.35">
      <c r="A150" s="3" t="s">
        <v>3</v>
      </c>
      <c r="B150" s="27">
        <v>71.86</v>
      </c>
      <c r="C150" s="1">
        <v>8</v>
      </c>
      <c r="D150" s="31">
        <f>Table_supermarket_sales___Sheet1[[#This Row],[Cost Price]]+Table57[[#This Row],[Markup Cost]]</f>
        <v>100.604</v>
      </c>
      <c r="E150" s="4">
        <v>8</v>
      </c>
      <c r="F150" s="20">
        <f>Table_supermarket_sales___Sheet13[[#This Row],[Selling Price]]-Table_supermarket_sales___Sheet13[[#This Row],[Cost Price]]</f>
        <v>28.744</v>
      </c>
    </row>
    <row r="151" spans="1:6" x14ac:dyDescent="0.35">
      <c r="A151" s="3" t="s">
        <v>1</v>
      </c>
      <c r="B151" s="27">
        <v>32.46</v>
      </c>
      <c r="C151" s="1">
        <v>8</v>
      </c>
      <c r="D151" s="31">
        <f>Table_supermarket_sales___Sheet1[[#This Row],[Cost Price]]+Table57[[#This Row],[Markup Cost]]</f>
        <v>45.444000000000003</v>
      </c>
      <c r="E151" s="1">
        <v>8</v>
      </c>
      <c r="F151" s="20">
        <f>Table_supermarket_sales___Sheet13[[#This Row],[Selling Price]]-Table_supermarket_sales___Sheet13[[#This Row],[Cost Price]]</f>
        <v>12.984000000000002</v>
      </c>
    </row>
    <row r="152" spans="1:6" x14ac:dyDescent="0.35">
      <c r="A152" s="3" t="s">
        <v>6</v>
      </c>
      <c r="B152" s="27">
        <v>91.54</v>
      </c>
      <c r="C152" s="1">
        <v>4</v>
      </c>
      <c r="D152" s="31">
        <f>Table_supermarket_sales___Sheet1[[#This Row],[Cost Price]]+Table57[[#This Row],[Markup Cost]]</f>
        <v>109.84800000000001</v>
      </c>
      <c r="E152" s="4">
        <v>4</v>
      </c>
      <c r="F152" s="20">
        <f>Table_supermarket_sales___Sheet13[[#This Row],[Selling Price]]-Table_supermarket_sales___Sheet13[[#This Row],[Cost Price]]</f>
        <v>18.308000000000007</v>
      </c>
    </row>
    <row r="153" spans="1:6" x14ac:dyDescent="0.35">
      <c r="A153" s="3" t="s">
        <v>4</v>
      </c>
      <c r="B153" s="27">
        <v>34.56</v>
      </c>
      <c r="C153" s="1">
        <v>7</v>
      </c>
      <c r="D153" s="31">
        <f>Table_supermarket_sales___Sheet1[[#This Row],[Cost Price]]+Table57[[#This Row],[Markup Cost]]</f>
        <v>46.656000000000006</v>
      </c>
      <c r="E153" s="1">
        <v>7</v>
      </c>
      <c r="F153" s="20">
        <f>Table_supermarket_sales___Sheet13[[#This Row],[Selling Price]]-Table_supermarket_sales___Sheet13[[#This Row],[Cost Price]]</f>
        <v>12.096000000000004</v>
      </c>
    </row>
    <row r="154" spans="1:6" x14ac:dyDescent="0.35">
      <c r="A154" s="3" t="s">
        <v>6</v>
      </c>
      <c r="B154" s="27">
        <v>83.24</v>
      </c>
      <c r="C154" s="1">
        <v>9</v>
      </c>
      <c r="D154" s="31">
        <f>Table_supermarket_sales___Sheet1[[#This Row],[Cost Price]]+Table57[[#This Row],[Markup Cost]]</f>
        <v>120.69799999999999</v>
      </c>
      <c r="E154" s="4">
        <v>9</v>
      </c>
      <c r="F154" s="20">
        <f>Table_supermarket_sales___Sheet13[[#This Row],[Selling Price]]-Table_supermarket_sales___Sheet13[[#This Row],[Cost Price]]</f>
        <v>37.457999999999998</v>
      </c>
    </row>
    <row r="155" spans="1:6" x14ac:dyDescent="0.35">
      <c r="A155" s="3" t="s">
        <v>5</v>
      </c>
      <c r="B155" s="27">
        <v>16.48</v>
      </c>
      <c r="C155" s="1">
        <v>6</v>
      </c>
      <c r="D155" s="31">
        <f>Table_supermarket_sales___Sheet1[[#This Row],[Cost Price]]+Table57[[#This Row],[Markup Cost]]</f>
        <v>21.423999999999999</v>
      </c>
      <c r="E155" s="1">
        <v>6</v>
      </c>
      <c r="F155" s="20">
        <f>Table_supermarket_sales___Sheet13[[#This Row],[Selling Price]]-Table_supermarket_sales___Sheet13[[#This Row],[Cost Price]]</f>
        <v>4.9439999999999991</v>
      </c>
    </row>
    <row r="156" spans="1:6" x14ac:dyDescent="0.35">
      <c r="A156" s="3" t="s">
        <v>4</v>
      </c>
      <c r="B156" s="27">
        <v>80.97</v>
      </c>
      <c r="C156" s="1">
        <v>8</v>
      </c>
      <c r="D156" s="31">
        <f>Table_supermarket_sales___Sheet1[[#This Row],[Cost Price]]+Table57[[#This Row],[Markup Cost]]</f>
        <v>113.358</v>
      </c>
      <c r="E156" s="4">
        <v>8</v>
      </c>
      <c r="F156" s="20">
        <f>Table_supermarket_sales___Sheet13[[#This Row],[Selling Price]]-Table_supermarket_sales___Sheet13[[#This Row],[Cost Price]]</f>
        <v>32.388000000000005</v>
      </c>
    </row>
    <row r="157" spans="1:6" x14ac:dyDescent="0.35">
      <c r="A157" s="3" t="s">
        <v>5</v>
      </c>
      <c r="B157" s="27">
        <v>92.29</v>
      </c>
      <c r="C157" s="1">
        <v>5</v>
      </c>
      <c r="D157" s="31">
        <f>Table_supermarket_sales___Sheet1[[#This Row],[Cost Price]]+Table57[[#This Row],[Markup Cost]]</f>
        <v>115.36250000000001</v>
      </c>
      <c r="E157" s="1">
        <v>5</v>
      </c>
      <c r="F157" s="20">
        <f>Table_supermarket_sales___Sheet13[[#This Row],[Selling Price]]-Table_supermarket_sales___Sheet13[[#This Row],[Cost Price]]</f>
        <v>23.072500000000005</v>
      </c>
    </row>
    <row r="158" spans="1:6" x14ac:dyDescent="0.35">
      <c r="A158" s="3" t="s">
        <v>2</v>
      </c>
      <c r="B158" s="27">
        <v>72.17</v>
      </c>
      <c r="C158" s="1">
        <v>1</v>
      </c>
      <c r="D158" s="31">
        <f>Table_supermarket_sales___Sheet1[[#This Row],[Cost Price]]+Table57[[#This Row],[Markup Cost]]</f>
        <v>75.778500000000008</v>
      </c>
      <c r="E158" s="4">
        <v>1</v>
      </c>
      <c r="F158" s="20">
        <f>Table_supermarket_sales___Sheet13[[#This Row],[Selling Price]]-Table_supermarket_sales___Sheet13[[#This Row],[Cost Price]]</f>
        <v>3.6085000000000065</v>
      </c>
    </row>
    <row r="159" spans="1:6" x14ac:dyDescent="0.35">
      <c r="A159" s="3" t="s">
        <v>3</v>
      </c>
      <c r="B159" s="27">
        <v>50.28</v>
      </c>
      <c r="C159" s="1">
        <v>5</v>
      </c>
      <c r="D159" s="31">
        <f>Table_supermarket_sales___Sheet1[[#This Row],[Cost Price]]+Table57[[#This Row],[Markup Cost]]</f>
        <v>62.85</v>
      </c>
      <c r="E159" s="1">
        <v>5</v>
      </c>
      <c r="F159" s="20">
        <f>Table_supermarket_sales___Sheet13[[#This Row],[Selling Price]]-Table_supermarket_sales___Sheet13[[#This Row],[Cost Price]]</f>
        <v>12.57</v>
      </c>
    </row>
    <row r="160" spans="1:6" x14ac:dyDescent="0.35">
      <c r="A160" s="3" t="s">
        <v>1</v>
      </c>
      <c r="B160" s="27">
        <v>97.22</v>
      </c>
      <c r="C160" s="1">
        <v>9</v>
      </c>
      <c r="D160" s="31">
        <f>Table_supermarket_sales___Sheet1[[#This Row],[Cost Price]]+Table57[[#This Row],[Markup Cost]]</f>
        <v>140.96899999999999</v>
      </c>
      <c r="E160" s="4">
        <v>9</v>
      </c>
      <c r="F160" s="20">
        <f>Table_supermarket_sales___Sheet13[[#This Row],[Selling Price]]-Table_supermarket_sales___Sheet13[[#This Row],[Cost Price]]</f>
        <v>43.748999999999995</v>
      </c>
    </row>
    <row r="161" spans="1:6" x14ac:dyDescent="0.35">
      <c r="A161" s="3" t="s">
        <v>4</v>
      </c>
      <c r="B161" s="27">
        <v>93.39</v>
      </c>
      <c r="C161" s="1">
        <v>6</v>
      </c>
      <c r="D161" s="31">
        <f>Table_supermarket_sales___Sheet1[[#This Row],[Cost Price]]+Table57[[#This Row],[Markup Cost]]</f>
        <v>121.407</v>
      </c>
      <c r="E161" s="1">
        <v>6</v>
      </c>
      <c r="F161" s="20">
        <f>Table_supermarket_sales___Sheet13[[#This Row],[Selling Price]]-Table_supermarket_sales___Sheet13[[#This Row],[Cost Price]]</f>
        <v>28.016999999999996</v>
      </c>
    </row>
    <row r="162" spans="1:6" x14ac:dyDescent="0.35">
      <c r="A162" s="3" t="s">
        <v>5</v>
      </c>
      <c r="B162" s="27">
        <v>43.18</v>
      </c>
      <c r="C162" s="1">
        <v>8</v>
      </c>
      <c r="D162" s="31">
        <f>Table_supermarket_sales___Sheet1[[#This Row],[Cost Price]]+Table57[[#This Row],[Markup Cost]]</f>
        <v>60.451999999999998</v>
      </c>
      <c r="E162" s="4">
        <v>8</v>
      </c>
      <c r="F162" s="20">
        <f>Table_supermarket_sales___Sheet13[[#This Row],[Selling Price]]-Table_supermarket_sales___Sheet13[[#This Row],[Cost Price]]</f>
        <v>17.271999999999998</v>
      </c>
    </row>
    <row r="163" spans="1:6" x14ac:dyDescent="0.35">
      <c r="A163" s="3" t="s">
        <v>4</v>
      </c>
      <c r="B163" s="27">
        <v>63.69</v>
      </c>
      <c r="C163" s="1">
        <v>1</v>
      </c>
      <c r="D163" s="31">
        <f>Table_supermarket_sales___Sheet1[[#This Row],[Cost Price]]+Table57[[#This Row],[Markup Cost]]</f>
        <v>66.874499999999998</v>
      </c>
      <c r="E163" s="1">
        <v>1</v>
      </c>
      <c r="F163" s="20">
        <f>Table_supermarket_sales___Sheet13[[#This Row],[Selling Price]]-Table_supermarket_sales___Sheet13[[#This Row],[Cost Price]]</f>
        <v>3.1844999999999999</v>
      </c>
    </row>
    <row r="164" spans="1:6" x14ac:dyDescent="0.35">
      <c r="A164" s="3" t="s">
        <v>5</v>
      </c>
      <c r="B164" s="27">
        <v>45.79</v>
      </c>
      <c r="C164" s="1">
        <v>7</v>
      </c>
      <c r="D164" s="31">
        <f>Table_supermarket_sales___Sheet1[[#This Row],[Cost Price]]+Table57[[#This Row],[Markup Cost]]</f>
        <v>61.816499999999998</v>
      </c>
      <c r="E164" s="4">
        <v>7</v>
      </c>
      <c r="F164" s="20">
        <f>Table_supermarket_sales___Sheet13[[#This Row],[Selling Price]]-Table_supermarket_sales___Sheet13[[#This Row],[Cost Price]]</f>
        <v>16.026499999999999</v>
      </c>
    </row>
    <row r="165" spans="1:6" x14ac:dyDescent="0.35">
      <c r="A165" s="3" t="s">
        <v>4</v>
      </c>
      <c r="B165" s="27">
        <v>76.400000000000006</v>
      </c>
      <c r="C165" s="1">
        <v>2</v>
      </c>
      <c r="D165" s="31">
        <f>Table_supermarket_sales___Sheet1[[#This Row],[Cost Price]]+Table57[[#This Row],[Markup Cost]]</f>
        <v>84.04</v>
      </c>
      <c r="E165" s="1">
        <v>2</v>
      </c>
      <c r="F165" s="20">
        <f>Table_supermarket_sales___Sheet13[[#This Row],[Selling Price]]-Table_supermarket_sales___Sheet13[[#This Row],[Cost Price]]</f>
        <v>7.6400000000000006</v>
      </c>
    </row>
    <row r="166" spans="1:6" x14ac:dyDescent="0.35">
      <c r="A166" s="3" t="s">
        <v>5</v>
      </c>
      <c r="B166" s="27">
        <v>39.9</v>
      </c>
      <c r="C166" s="1">
        <v>10</v>
      </c>
      <c r="D166" s="31">
        <f>Table_supermarket_sales___Sheet1[[#This Row],[Cost Price]]+Table57[[#This Row],[Markup Cost]]</f>
        <v>59.849999999999994</v>
      </c>
      <c r="E166" s="4">
        <v>10</v>
      </c>
      <c r="F166" s="20">
        <f>Table_supermarket_sales___Sheet13[[#This Row],[Selling Price]]-Table_supermarket_sales___Sheet13[[#This Row],[Cost Price]]</f>
        <v>19.949999999999996</v>
      </c>
    </row>
    <row r="167" spans="1:6" x14ac:dyDescent="0.35">
      <c r="A167" s="3" t="s">
        <v>1</v>
      </c>
      <c r="B167" s="27">
        <v>42.57</v>
      </c>
      <c r="C167" s="1">
        <v>8</v>
      </c>
      <c r="D167" s="31">
        <f>Table_supermarket_sales___Sheet1[[#This Row],[Cost Price]]+Table57[[#This Row],[Markup Cost]]</f>
        <v>59.597999999999999</v>
      </c>
      <c r="E167" s="1">
        <v>8</v>
      </c>
      <c r="F167" s="20">
        <f>Table_supermarket_sales___Sheet13[[#This Row],[Selling Price]]-Table_supermarket_sales___Sheet13[[#This Row],[Cost Price]]</f>
        <v>17.027999999999999</v>
      </c>
    </row>
    <row r="168" spans="1:6" x14ac:dyDescent="0.35">
      <c r="A168" s="3" t="s">
        <v>3</v>
      </c>
      <c r="B168" s="27">
        <v>95.58</v>
      </c>
      <c r="C168" s="1">
        <v>10</v>
      </c>
      <c r="D168" s="31">
        <f>Table_supermarket_sales___Sheet1[[#This Row],[Cost Price]]+Table57[[#This Row],[Markup Cost]]</f>
        <v>143.37</v>
      </c>
      <c r="E168" s="4">
        <v>10</v>
      </c>
      <c r="F168" s="20">
        <f>Table_supermarket_sales___Sheet13[[#This Row],[Selling Price]]-Table_supermarket_sales___Sheet13[[#This Row],[Cost Price]]</f>
        <v>47.790000000000006</v>
      </c>
    </row>
    <row r="169" spans="1:6" x14ac:dyDescent="0.35">
      <c r="A169" s="3" t="s">
        <v>6</v>
      </c>
      <c r="B169" s="27">
        <v>98.98</v>
      </c>
      <c r="C169" s="1">
        <v>10</v>
      </c>
      <c r="D169" s="31">
        <f>Table_supermarket_sales___Sheet1[[#This Row],[Cost Price]]+Table57[[#This Row],[Markup Cost]]</f>
        <v>148.47</v>
      </c>
      <c r="E169" s="1">
        <v>10</v>
      </c>
      <c r="F169" s="20">
        <f>Table_supermarket_sales___Sheet13[[#This Row],[Selling Price]]-Table_supermarket_sales___Sheet13[[#This Row],[Cost Price]]</f>
        <v>49.489999999999995</v>
      </c>
    </row>
    <row r="170" spans="1:6" x14ac:dyDescent="0.35">
      <c r="A170" s="3" t="s">
        <v>5</v>
      </c>
      <c r="B170" s="27">
        <v>51.28</v>
      </c>
      <c r="C170" s="1">
        <v>6</v>
      </c>
      <c r="D170" s="31">
        <f>Table_supermarket_sales___Sheet1[[#This Row],[Cost Price]]+Table57[[#This Row],[Markup Cost]]</f>
        <v>66.664000000000001</v>
      </c>
      <c r="E170" s="4">
        <v>6</v>
      </c>
      <c r="F170" s="20">
        <f>Table_supermarket_sales___Sheet13[[#This Row],[Selling Price]]-Table_supermarket_sales___Sheet13[[#This Row],[Cost Price]]</f>
        <v>15.384</v>
      </c>
    </row>
    <row r="171" spans="1:6" x14ac:dyDescent="0.35">
      <c r="A171" s="3" t="s">
        <v>4</v>
      </c>
      <c r="B171" s="27">
        <v>69.52</v>
      </c>
      <c r="C171" s="1">
        <v>7</v>
      </c>
      <c r="D171" s="31">
        <f>Table_supermarket_sales___Sheet1[[#This Row],[Cost Price]]+Table57[[#This Row],[Markup Cost]]</f>
        <v>93.852000000000004</v>
      </c>
      <c r="E171" s="1">
        <v>7</v>
      </c>
      <c r="F171" s="20">
        <f>Table_supermarket_sales___Sheet13[[#This Row],[Selling Price]]-Table_supermarket_sales___Sheet13[[#This Row],[Cost Price]]</f>
        <v>24.332000000000008</v>
      </c>
    </row>
    <row r="172" spans="1:6" x14ac:dyDescent="0.35">
      <c r="A172" s="3" t="s">
        <v>1</v>
      </c>
      <c r="B172" s="27">
        <v>70.010000000000005</v>
      </c>
      <c r="C172" s="1">
        <v>5</v>
      </c>
      <c r="D172" s="31">
        <f>Table_supermarket_sales___Sheet1[[#This Row],[Cost Price]]+Table57[[#This Row],[Markup Cost]]</f>
        <v>87.512500000000003</v>
      </c>
      <c r="E172" s="4">
        <v>5</v>
      </c>
      <c r="F172" s="20">
        <f>Table_supermarket_sales___Sheet13[[#This Row],[Selling Price]]-Table_supermarket_sales___Sheet13[[#This Row],[Cost Price]]</f>
        <v>17.502499999999998</v>
      </c>
    </row>
    <row r="173" spans="1:6" x14ac:dyDescent="0.35">
      <c r="A173" s="3" t="s">
        <v>5</v>
      </c>
      <c r="B173" s="27">
        <v>80.05</v>
      </c>
      <c r="C173" s="1">
        <v>5</v>
      </c>
      <c r="D173" s="31">
        <f>Table_supermarket_sales___Sheet1[[#This Row],[Cost Price]]+Table57[[#This Row],[Markup Cost]]</f>
        <v>100.0625</v>
      </c>
      <c r="E173" s="1">
        <v>5</v>
      </c>
      <c r="F173" s="20">
        <f>Table_supermarket_sales___Sheet13[[#This Row],[Selling Price]]-Table_supermarket_sales___Sheet13[[#This Row],[Cost Price]]</f>
        <v>20.012500000000003</v>
      </c>
    </row>
    <row r="174" spans="1:6" x14ac:dyDescent="0.35">
      <c r="A174" s="3" t="s">
        <v>2</v>
      </c>
      <c r="B174" s="27">
        <v>20.85</v>
      </c>
      <c r="C174" s="1">
        <v>8</v>
      </c>
      <c r="D174" s="31">
        <f>Table_supermarket_sales___Sheet1[[#This Row],[Cost Price]]+Table57[[#This Row],[Markup Cost]]</f>
        <v>29.19</v>
      </c>
      <c r="E174" s="4">
        <v>8</v>
      </c>
      <c r="F174" s="20">
        <f>Table_supermarket_sales___Sheet13[[#This Row],[Selling Price]]-Table_supermarket_sales___Sheet13[[#This Row],[Cost Price]]</f>
        <v>8.34</v>
      </c>
    </row>
    <row r="175" spans="1:6" x14ac:dyDescent="0.35">
      <c r="A175" s="3" t="s">
        <v>2</v>
      </c>
      <c r="B175" s="27">
        <v>52.89</v>
      </c>
      <c r="C175" s="1">
        <v>6</v>
      </c>
      <c r="D175" s="31">
        <f>Table_supermarket_sales___Sheet1[[#This Row],[Cost Price]]+Table57[[#This Row],[Markup Cost]]</f>
        <v>68.757000000000005</v>
      </c>
      <c r="E175" s="1">
        <v>6</v>
      </c>
      <c r="F175" s="20">
        <f>Table_supermarket_sales___Sheet13[[#This Row],[Selling Price]]-Table_supermarket_sales___Sheet13[[#This Row],[Cost Price]]</f>
        <v>15.867000000000004</v>
      </c>
    </row>
    <row r="176" spans="1:6" x14ac:dyDescent="0.35">
      <c r="A176" s="3" t="s">
        <v>5</v>
      </c>
      <c r="B176" s="27">
        <v>19.79</v>
      </c>
      <c r="C176" s="1">
        <v>8</v>
      </c>
      <c r="D176" s="31">
        <f>Table_supermarket_sales___Sheet1[[#This Row],[Cost Price]]+Table57[[#This Row],[Markup Cost]]</f>
        <v>27.706</v>
      </c>
      <c r="E176" s="4">
        <v>8</v>
      </c>
      <c r="F176" s="20">
        <f>Table_supermarket_sales___Sheet13[[#This Row],[Selling Price]]-Table_supermarket_sales___Sheet13[[#This Row],[Cost Price]]</f>
        <v>7.9160000000000004</v>
      </c>
    </row>
    <row r="177" spans="1:6" x14ac:dyDescent="0.35">
      <c r="A177" s="3" t="s">
        <v>3</v>
      </c>
      <c r="B177" s="27">
        <v>33.840000000000003</v>
      </c>
      <c r="C177" s="1">
        <v>9</v>
      </c>
      <c r="D177" s="31">
        <f>Table_supermarket_sales___Sheet1[[#This Row],[Cost Price]]+Table57[[#This Row],[Markup Cost]]</f>
        <v>49.068000000000005</v>
      </c>
      <c r="E177" s="1">
        <v>9</v>
      </c>
      <c r="F177" s="20">
        <f>Table_supermarket_sales___Sheet13[[#This Row],[Selling Price]]-Table_supermarket_sales___Sheet13[[#This Row],[Cost Price]]</f>
        <v>15.228000000000002</v>
      </c>
    </row>
    <row r="178" spans="1:6" x14ac:dyDescent="0.35">
      <c r="A178" s="3" t="s">
        <v>5</v>
      </c>
      <c r="B178" s="27">
        <v>22.17</v>
      </c>
      <c r="C178" s="1">
        <v>8</v>
      </c>
      <c r="D178" s="31">
        <f>Table_supermarket_sales___Sheet1[[#This Row],[Cost Price]]+Table57[[#This Row],[Markup Cost]]</f>
        <v>31.038000000000004</v>
      </c>
      <c r="E178" s="4">
        <v>8</v>
      </c>
      <c r="F178" s="20">
        <f>Table_supermarket_sales___Sheet13[[#This Row],[Selling Price]]-Table_supermarket_sales___Sheet13[[#This Row],[Cost Price]]</f>
        <v>8.8680000000000021</v>
      </c>
    </row>
    <row r="179" spans="1:6" x14ac:dyDescent="0.35">
      <c r="A179" s="3" t="s">
        <v>6</v>
      </c>
      <c r="B179" s="27">
        <v>22.51</v>
      </c>
      <c r="C179" s="1">
        <v>7</v>
      </c>
      <c r="D179" s="31">
        <f>Table_supermarket_sales___Sheet1[[#This Row],[Cost Price]]+Table57[[#This Row],[Markup Cost]]</f>
        <v>30.388500000000001</v>
      </c>
      <c r="E179" s="1">
        <v>7</v>
      </c>
      <c r="F179" s="20">
        <f>Table_supermarket_sales___Sheet13[[#This Row],[Selling Price]]-Table_supermarket_sales___Sheet13[[#This Row],[Cost Price]]</f>
        <v>7.8784999999999989</v>
      </c>
    </row>
    <row r="180" spans="1:6" x14ac:dyDescent="0.35">
      <c r="A180" s="3" t="s">
        <v>5</v>
      </c>
      <c r="B180" s="27">
        <v>73.88</v>
      </c>
      <c r="C180" s="1">
        <v>6</v>
      </c>
      <c r="D180" s="31">
        <f>Table_supermarket_sales___Sheet1[[#This Row],[Cost Price]]+Table57[[#This Row],[Markup Cost]]</f>
        <v>96.043999999999997</v>
      </c>
      <c r="E180" s="4">
        <v>6</v>
      </c>
      <c r="F180" s="20">
        <f>Table_supermarket_sales___Sheet13[[#This Row],[Selling Price]]-Table_supermarket_sales___Sheet13[[#This Row],[Cost Price]]</f>
        <v>22.164000000000001</v>
      </c>
    </row>
    <row r="181" spans="1:6" x14ac:dyDescent="0.35">
      <c r="A181" s="3" t="s">
        <v>1</v>
      </c>
      <c r="B181" s="27">
        <v>86.8</v>
      </c>
      <c r="C181" s="1">
        <v>3</v>
      </c>
      <c r="D181" s="31">
        <f>Table_supermarket_sales___Sheet1[[#This Row],[Cost Price]]+Table57[[#This Row],[Markup Cost]]</f>
        <v>99.82</v>
      </c>
      <c r="E181" s="1">
        <v>3</v>
      </c>
      <c r="F181" s="20">
        <f>Table_supermarket_sales___Sheet13[[#This Row],[Selling Price]]-Table_supermarket_sales___Sheet13[[#This Row],[Cost Price]]</f>
        <v>13.019999999999996</v>
      </c>
    </row>
    <row r="182" spans="1:6" x14ac:dyDescent="0.35">
      <c r="A182" s="3" t="s">
        <v>6</v>
      </c>
      <c r="B182" s="27">
        <v>64.260000000000005</v>
      </c>
      <c r="C182" s="1">
        <v>7</v>
      </c>
      <c r="D182" s="31">
        <f>Table_supermarket_sales___Sheet1[[#This Row],[Cost Price]]+Table57[[#This Row],[Markup Cost]]</f>
        <v>86.751000000000005</v>
      </c>
      <c r="E182" s="4">
        <v>7</v>
      </c>
      <c r="F182" s="20">
        <f>Table_supermarket_sales___Sheet13[[#This Row],[Selling Price]]-Table_supermarket_sales___Sheet13[[#This Row],[Cost Price]]</f>
        <v>22.491</v>
      </c>
    </row>
    <row r="183" spans="1:6" x14ac:dyDescent="0.35">
      <c r="A183" s="3" t="s">
        <v>5</v>
      </c>
      <c r="B183" s="27">
        <v>38.47</v>
      </c>
      <c r="C183" s="1">
        <v>8</v>
      </c>
      <c r="D183" s="31">
        <f>Table_supermarket_sales___Sheet1[[#This Row],[Cost Price]]+Table57[[#This Row],[Markup Cost]]</f>
        <v>53.857999999999997</v>
      </c>
      <c r="E183" s="1">
        <v>8</v>
      </c>
      <c r="F183" s="20">
        <f>Table_supermarket_sales___Sheet13[[#This Row],[Selling Price]]-Table_supermarket_sales___Sheet13[[#This Row],[Cost Price]]</f>
        <v>15.387999999999998</v>
      </c>
    </row>
    <row r="184" spans="1:6" x14ac:dyDescent="0.35">
      <c r="A184" s="3" t="s">
        <v>4</v>
      </c>
      <c r="B184" s="27">
        <v>15.5</v>
      </c>
      <c r="C184" s="1">
        <v>10</v>
      </c>
      <c r="D184" s="31">
        <f>Table_supermarket_sales___Sheet1[[#This Row],[Cost Price]]+Table57[[#This Row],[Markup Cost]]</f>
        <v>23.25</v>
      </c>
      <c r="E184" s="4">
        <v>10</v>
      </c>
      <c r="F184" s="20">
        <f>Table_supermarket_sales___Sheet13[[#This Row],[Selling Price]]-Table_supermarket_sales___Sheet13[[#This Row],[Cost Price]]</f>
        <v>7.75</v>
      </c>
    </row>
    <row r="185" spans="1:6" x14ac:dyDescent="0.35">
      <c r="A185" s="3" t="s">
        <v>1</v>
      </c>
      <c r="B185" s="27">
        <v>34.31</v>
      </c>
      <c r="C185" s="1">
        <v>8</v>
      </c>
      <c r="D185" s="31">
        <f>Table_supermarket_sales___Sheet1[[#This Row],[Cost Price]]+Table57[[#This Row],[Markup Cost]]</f>
        <v>48.034000000000006</v>
      </c>
      <c r="E185" s="1">
        <v>8</v>
      </c>
      <c r="F185" s="20">
        <f>Table_supermarket_sales___Sheet13[[#This Row],[Selling Price]]-Table_supermarket_sales___Sheet13[[#This Row],[Cost Price]]</f>
        <v>13.724000000000004</v>
      </c>
    </row>
    <row r="186" spans="1:6" x14ac:dyDescent="0.35">
      <c r="A186" s="3" t="s">
        <v>4</v>
      </c>
      <c r="B186" s="27">
        <v>12.34</v>
      </c>
      <c r="C186" s="1">
        <v>7</v>
      </c>
      <c r="D186" s="31">
        <f>Table_supermarket_sales___Sheet1[[#This Row],[Cost Price]]+Table57[[#This Row],[Markup Cost]]</f>
        <v>16.658999999999999</v>
      </c>
      <c r="E186" s="4">
        <v>7</v>
      </c>
      <c r="F186" s="20">
        <f>Table_supermarket_sales___Sheet13[[#This Row],[Selling Price]]-Table_supermarket_sales___Sheet13[[#This Row],[Cost Price]]</f>
        <v>4.3189999999999991</v>
      </c>
    </row>
    <row r="187" spans="1:6" x14ac:dyDescent="0.35">
      <c r="A187" s="3" t="s">
        <v>5</v>
      </c>
      <c r="B187" s="27">
        <v>18.079999999999998</v>
      </c>
      <c r="C187" s="1">
        <v>3</v>
      </c>
      <c r="D187" s="31">
        <f>Table_supermarket_sales___Sheet1[[#This Row],[Cost Price]]+Table57[[#This Row],[Markup Cost]]</f>
        <v>20.791999999999998</v>
      </c>
      <c r="E187" s="1">
        <v>3</v>
      </c>
      <c r="F187" s="20">
        <f>Table_supermarket_sales___Sheet13[[#This Row],[Selling Price]]-Table_supermarket_sales___Sheet13[[#This Row],[Cost Price]]</f>
        <v>2.7119999999999997</v>
      </c>
    </row>
    <row r="188" spans="1:6" x14ac:dyDescent="0.35">
      <c r="A188" s="3" t="s">
        <v>3</v>
      </c>
      <c r="B188" s="27">
        <v>94.49</v>
      </c>
      <c r="C188" s="1">
        <v>8</v>
      </c>
      <c r="D188" s="31">
        <f>Table_supermarket_sales___Sheet1[[#This Row],[Cost Price]]+Table57[[#This Row],[Markup Cost]]</f>
        <v>132.286</v>
      </c>
      <c r="E188" s="4">
        <v>8</v>
      </c>
      <c r="F188" s="20">
        <f>Table_supermarket_sales___Sheet13[[#This Row],[Selling Price]]-Table_supermarket_sales___Sheet13[[#This Row],[Cost Price]]</f>
        <v>37.796000000000006</v>
      </c>
    </row>
    <row r="189" spans="1:6" x14ac:dyDescent="0.35">
      <c r="A189" s="3" t="s">
        <v>3</v>
      </c>
      <c r="B189" s="27">
        <v>46.47</v>
      </c>
      <c r="C189" s="1">
        <v>4</v>
      </c>
      <c r="D189" s="31">
        <f>Table_supermarket_sales___Sheet1[[#This Row],[Cost Price]]+Table57[[#This Row],[Markup Cost]]</f>
        <v>55.763999999999996</v>
      </c>
      <c r="E189" s="1">
        <v>4</v>
      </c>
      <c r="F189" s="20">
        <f>Table_supermarket_sales___Sheet13[[#This Row],[Selling Price]]-Table_supermarket_sales___Sheet13[[#This Row],[Cost Price]]</f>
        <v>9.2939999999999969</v>
      </c>
    </row>
    <row r="190" spans="1:6" x14ac:dyDescent="0.35">
      <c r="A190" s="3" t="s">
        <v>3</v>
      </c>
      <c r="B190" s="27">
        <v>74.069999999999993</v>
      </c>
      <c r="C190" s="1">
        <v>1</v>
      </c>
      <c r="D190" s="31">
        <f>Table_supermarket_sales___Sheet1[[#This Row],[Cost Price]]+Table57[[#This Row],[Markup Cost]]</f>
        <v>77.773499999999999</v>
      </c>
      <c r="E190" s="4">
        <v>1</v>
      </c>
      <c r="F190" s="20">
        <f>Table_supermarket_sales___Sheet13[[#This Row],[Selling Price]]-Table_supermarket_sales___Sheet13[[#This Row],[Cost Price]]</f>
        <v>3.7035000000000053</v>
      </c>
    </row>
    <row r="191" spans="1:6" x14ac:dyDescent="0.35">
      <c r="A191" s="3" t="s">
        <v>3</v>
      </c>
      <c r="B191" s="27">
        <v>69.81</v>
      </c>
      <c r="C191" s="1">
        <v>4</v>
      </c>
      <c r="D191" s="31">
        <f>Table_supermarket_sales___Sheet1[[#This Row],[Cost Price]]+Table57[[#This Row],[Markup Cost]]</f>
        <v>83.772000000000006</v>
      </c>
      <c r="E191" s="1">
        <v>4</v>
      </c>
      <c r="F191" s="20">
        <f>Table_supermarket_sales___Sheet13[[#This Row],[Selling Price]]-Table_supermarket_sales___Sheet13[[#This Row],[Cost Price]]</f>
        <v>13.962000000000003</v>
      </c>
    </row>
    <row r="192" spans="1:6" x14ac:dyDescent="0.35">
      <c r="A192" s="3" t="s">
        <v>3</v>
      </c>
      <c r="B192" s="27">
        <v>77.040000000000006</v>
      </c>
      <c r="C192" s="1">
        <v>3</v>
      </c>
      <c r="D192" s="31">
        <f>Table_supermarket_sales___Sheet1[[#This Row],[Cost Price]]+Table57[[#This Row],[Markup Cost]]</f>
        <v>88.596000000000004</v>
      </c>
      <c r="E192" s="4">
        <v>3</v>
      </c>
      <c r="F192" s="20">
        <f>Table_supermarket_sales___Sheet13[[#This Row],[Selling Price]]-Table_supermarket_sales___Sheet13[[#This Row],[Cost Price]]</f>
        <v>11.555999999999997</v>
      </c>
    </row>
    <row r="193" spans="1:6" x14ac:dyDescent="0.35">
      <c r="A193" s="3" t="s">
        <v>6</v>
      </c>
      <c r="B193" s="27">
        <v>73.52</v>
      </c>
      <c r="C193" s="1">
        <v>2</v>
      </c>
      <c r="D193" s="31">
        <f>Table_supermarket_sales___Sheet1[[#This Row],[Cost Price]]+Table57[[#This Row],[Markup Cost]]</f>
        <v>80.872</v>
      </c>
      <c r="E193" s="1">
        <v>2</v>
      </c>
      <c r="F193" s="20">
        <f>Table_supermarket_sales___Sheet13[[#This Row],[Selling Price]]-Table_supermarket_sales___Sheet13[[#This Row],[Cost Price]]</f>
        <v>7.3520000000000039</v>
      </c>
    </row>
    <row r="194" spans="1:6" x14ac:dyDescent="0.35">
      <c r="A194" s="3" t="s">
        <v>5</v>
      </c>
      <c r="B194" s="27">
        <v>87.8</v>
      </c>
      <c r="C194" s="1">
        <v>9</v>
      </c>
      <c r="D194" s="31">
        <f>Table_supermarket_sales___Sheet1[[#This Row],[Cost Price]]+Table57[[#This Row],[Markup Cost]]</f>
        <v>127.31</v>
      </c>
      <c r="E194" s="4">
        <v>9</v>
      </c>
      <c r="F194" s="20">
        <f>Table_supermarket_sales___Sheet13[[#This Row],[Selling Price]]-Table_supermarket_sales___Sheet13[[#This Row],[Cost Price]]</f>
        <v>39.510000000000005</v>
      </c>
    </row>
    <row r="195" spans="1:6" x14ac:dyDescent="0.35">
      <c r="A195" s="3" t="s">
        <v>3</v>
      </c>
      <c r="B195" s="27">
        <v>25.55</v>
      </c>
      <c r="C195" s="1">
        <v>4</v>
      </c>
      <c r="D195" s="31">
        <f>Table_supermarket_sales___Sheet1[[#This Row],[Cost Price]]+Table57[[#This Row],[Markup Cost]]</f>
        <v>30.66</v>
      </c>
      <c r="E195" s="1">
        <v>4</v>
      </c>
      <c r="F195" s="20">
        <f>Table_supermarket_sales___Sheet13[[#This Row],[Selling Price]]-Table_supermarket_sales___Sheet13[[#This Row],[Cost Price]]</f>
        <v>5.1099999999999994</v>
      </c>
    </row>
    <row r="196" spans="1:6" x14ac:dyDescent="0.35">
      <c r="A196" s="3" t="s">
        <v>2</v>
      </c>
      <c r="B196" s="27">
        <v>32.71</v>
      </c>
      <c r="C196" s="1">
        <v>5</v>
      </c>
      <c r="D196" s="31">
        <f>Table_supermarket_sales___Sheet1[[#This Row],[Cost Price]]+Table57[[#This Row],[Markup Cost]]</f>
        <v>40.887500000000003</v>
      </c>
      <c r="E196" s="4">
        <v>5</v>
      </c>
      <c r="F196" s="20">
        <f>Table_supermarket_sales___Sheet13[[#This Row],[Selling Price]]-Table_supermarket_sales___Sheet13[[#This Row],[Cost Price]]</f>
        <v>8.177500000000002</v>
      </c>
    </row>
    <row r="197" spans="1:6" x14ac:dyDescent="0.35">
      <c r="A197" s="3" t="s">
        <v>6</v>
      </c>
      <c r="B197" s="27">
        <v>74.290000000000006</v>
      </c>
      <c r="C197" s="1">
        <v>1</v>
      </c>
      <c r="D197" s="31">
        <f>Table_supermarket_sales___Sheet1[[#This Row],[Cost Price]]+Table57[[#This Row],[Markup Cost]]</f>
        <v>78.004500000000007</v>
      </c>
      <c r="E197" s="1">
        <v>1</v>
      </c>
      <c r="F197" s="20">
        <f>Table_supermarket_sales___Sheet13[[#This Row],[Selling Price]]-Table_supermarket_sales___Sheet13[[#This Row],[Cost Price]]</f>
        <v>3.714500000000001</v>
      </c>
    </row>
    <row r="198" spans="1:6" x14ac:dyDescent="0.35">
      <c r="A198" s="3" t="s">
        <v>1</v>
      </c>
      <c r="B198" s="27">
        <v>43.7</v>
      </c>
      <c r="C198" s="1">
        <v>2</v>
      </c>
      <c r="D198" s="31">
        <f>Table_supermarket_sales___Sheet1[[#This Row],[Cost Price]]+Table57[[#This Row],[Markup Cost]]</f>
        <v>48.07</v>
      </c>
      <c r="E198" s="4">
        <v>2</v>
      </c>
      <c r="F198" s="20">
        <f>Table_supermarket_sales___Sheet13[[#This Row],[Selling Price]]-Table_supermarket_sales___Sheet13[[#This Row],[Cost Price]]</f>
        <v>4.3699999999999974</v>
      </c>
    </row>
    <row r="199" spans="1:6" x14ac:dyDescent="0.35">
      <c r="A199" s="3" t="s">
        <v>3</v>
      </c>
      <c r="B199" s="27">
        <v>25.29</v>
      </c>
      <c r="C199" s="1">
        <v>1</v>
      </c>
      <c r="D199" s="31">
        <f>Table_supermarket_sales___Sheet1[[#This Row],[Cost Price]]+Table57[[#This Row],[Markup Cost]]</f>
        <v>26.554499999999997</v>
      </c>
      <c r="E199" s="1">
        <v>1</v>
      </c>
      <c r="F199" s="20">
        <f>Table_supermarket_sales___Sheet13[[#This Row],[Selling Price]]-Table_supermarket_sales___Sheet13[[#This Row],[Cost Price]]</f>
        <v>1.2644999999999982</v>
      </c>
    </row>
    <row r="200" spans="1:6" x14ac:dyDescent="0.35">
      <c r="A200" s="3" t="s">
        <v>1</v>
      </c>
      <c r="B200" s="27">
        <v>41.5</v>
      </c>
      <c r="C200" s="1">
        <v>4</v>
      </c>
      <c r="D200" s="31">
        <f>Table_supermarket_sales___Sheet1[[#This Row],[Cost Price]]+Table57[[#This Row],[Markup Cost]]</f>
        <v>49.8</v>
      </c>
      <c r="E200" s="4">
        <v>4</v>
      </c>
      <c r="F200" s="20">
        <f>Table_supermarket_sales___Sheet13[[#This Row],[Selling Price]]-Table_supermarket_sales___Sheet13[[#This Row],[Cost Price]]</f>
        <v>8.2999999999999972</v>
      </c>
    </row>
    <row r="201" spans="1:6" x14ac:dyDescent="0.35">
      <c r="A201" s="3" t="s">
        <v>5</v>
      </c>
      <c r="B201" s="27">
        <v>71.39</v>
      </c>
      <c r="C201" s="1">
        <v>5</v>
      </c>
      <c r="D201" s="31">
        <f>Table_supermarket_sales___Sheet1[[#This Row],[Cost Price]]+Table57[[#This Row],[Markup Cost]]</f>
        <v>89.237499999999997</v>
      </c>
      <c r="E201" s="1">
        <v>5</v>
      </c>
      <c r="F201" s="20">
        <f>Table_supermarket_sales___Sheet13[[#This Row],[Selling Price]]-Table_supermarket_sales___Sheet13[[#This Row],[Cost Price]]</f>
        <v>17.847499999999997</v>
      </c>
    </row>
    <row r="202" spans="1:6" x14ac:dyDescent="0.35">
      <c r="A202" s="3" t="s">
        <v>4</v>
      </c>
      <c r="B202" s="27">
        <v>19.149999999999999</v>
      </c>
      <c r="C202" s="1">
        <v>6</v>
      </c>
      <c r="D202" s="31">
        <f>Table_supermarket_sales___Sheet1[[#This Row],[Cost Price]]+Table57[[#This Row],[Markup Cost]]</f>
        <v>24.895</v>
      </c>
      <c r="E202" s="4">
        <v>6</v>
      </c>
      <c r="F202" s="20">
        <f>Table_supermarket_sales___Sheet13[[#This Row],[Selling Price]]-Table_supermarket_sales___Sheet13[[#This Row],[Cost Price]]</f>
        <v>5.745000000000001</v>
      </c>
    </row>
    <row r="203" spans="1:6" x14ac:dyDescent="0.35">
      <c r="A203" s="3" t="s">
        <v>2</v>
      </c>
      <c r="B203" s="27">
        <v>57.49</v>
      </c>
      <c r="C203" s="1">
        <v>4</v>
      </c>
      <c r="D203" s="31">
        <f>Table_supermarket_sales___Sheet1[[#This Row],[Cost Price]]+Table57[[#This Row],[Markup Cost]]</f>
        <v>68.988</v>
      </c>
      <c r="E203" s="1">
        <v>4</v>
      </c>
      <c r="F203" s="20">
        <f>Table_supermarket_sales___Sheet13[[#This Row],[Selling Price]]-Table_supermarket_sales___Sheet13[[#This Row],[Cost Price]]</f>
        <v>11.497999999999998</v>
      </c>
    </row>
    <row r="204" spans="1:6" x14ac:dyDescent="0.35">
      <c r="A204" s="3" t="s">
        <v>2</v>
      </c>
      <c r="B204" s="27">
        <v>61.41</v>
      </c>
      <c r="C204" s="1">
        <v>7</v>
      </c>
      <c r="D204" s="31">
        <f>Table_supermarket_sales___Sheet1[[#This Row],[Cost Price]]+Table57[[#This Row],[Markup Cost]]</f>
        <v>82.903499999999994</v>
      </c>
      <c r="E204" s="4">
        <v>7</v>
      </c>
      <c r="F204" s="20">
        <f>Table_supermarket_sales___Sheet13[[#This Row],[Selling Price]]-Table_supermarket_sales___Sheet13[[#This Row],[Cost Price]]</f>
        <v>21.493499999999997</v>
      </c>
    </row>
    <row r="205" spans="1:6" x14ac:dyDescent="0.35">
      <c r="A205" s="3" t="s">
        <v>1</v>
      </c>
      <c r="B205" s="27">
        <v>25.9</v>
      </c>
      <c r="C205" s="1">
        <v>10</v>
      </c>
      <c r="D205" s="31">
        <f>Table_supermarket_sales___Sheet1[[#This Row],[Cost Price]]+Table57[[#This Row],[Markup Cost]]</f>
        <v>38.849999999999994</v>
      </c>
      <c r="E205" s="1">
        <v>10</v>
      </c>
      <c r="F205" s="20">
        <f>Table_supermarket_sales___Sheet13[[#This Row],[Selling Price]]-Table_supermarket_sales___Sheet13[[#This Row],[Cost Price]]</f>
        <v>12.949999999999996</v>
      </c>
    </row>
    <row r="206" spans="1:6" x14ac:dyDescent="0.35">
      <c r="A206" s="3" t="s">
        <v>3</v>
      </c>
      <c r="B206" s="27">
        <v>17.77</v>
      </c>
      <c r="C206" s="1">
        <v>5</v>
      </c>
      <c r="D206" s="31">
        <f>Table_supermarket_sales___Sheet1[[#This Row],[Cost Price]]+Table57[[#This Row],[Markup Cost]]</f>
        <v>22.212499999999999</v>
      </c>
      <c r="E206" s="4">
        <v>5</v>
      </c>
      <c r="F206" s="20">
        <f>Table_supermarket_sales___Sheet13[[#This Row],[Selling Price]]-Table_supermarket_sales___Sheet13[[#This Row],[Cost Price]]</f>
        <v>4.442499999999999</v>
      </c>
    </row>
    <row r="207" spans="1:6" x14ac:dyDescent="0.35">
      <c r="A207" s="3" t="s">
        <v>1</v>
      </c>
      <c r="B207" s="27">
        <v>23.03</v>
      </c>
      <c r="C207" s="1">
        <v>9</v>
      </c>
      <c r="D207" s="31">
        <f>Table_supermarket_sales___Sheet1[[#This Row],[Cost Price]]+Table57[[#This Row],[Markup Cost]]</f>
        <v>33.393500000000003</v>
      </c>
      <c r="E207" s="1">
        <v>9</v>
      </c>
      <c r="F207" s="20">
        <f>Table_supermarket_sales___Sheet13[[#This Row],[Selling Price]]-Table_supermarket_sales___Sheet13[[#This Row],[Cost Price]]</f>
        <v>10.363500000000002</v>
      </c>
    </row>
    <row r="208" spans="1:6" x14ac:dyDescent="0.35">
      <c r="A208" s="3" t="s">
        <v>2</v>
      </c>
      <c r="B208" s="27">
        <v>66.650000000000006</v>
      </c>
      <c r="C208" s="1">
        <v>9</v>
      </c>
      <c r="D208" s="31">
        <f>Table_supermarket_sales___Sheet1[[#This Row],[Cost Price]]+Table57[[#This Row],[Markup Cost]]</f>
        <v>96.642500000000013</v>
      </c>
      <c r="E208" s="4">
        <v>9</v>
      </c>
      <c r="F208" s="20">
        <f>Table_supermarket_sales___Sheet13[[#This Row],[Selling Price]]-Table_supermarket_sales___Sheet13[[#This Row],[Cost Price]]</f>
        <v>29.992500000000007</v>
      </c>
    </row>
    <row r="209" spans="1:6" x14ac:dyDescent="0.35">
      <c r="A209" s="3" t="s">
        <v>3</v>
      </c>
      <c r="B209" s="27">
        <v>28.53</v>
      </c>
      <c r="C209" s="1">
        <v>10</v>
      </c>
      <c r="D209" s="31">
        <f>Table_supermarket_sales___Sheet1[[#This Row],[Cost Price]]+Table57[[#This Row],[Markup Cost]]</f>
        <v>42.795000000000002</v>
      </c>
      <c r="E209" s="1">
        <v>10</v>
      </c>
      <c r="F209" s="20">
        <f>Table_supermarket_sales___Sheet13[[#This Row],[Selling Price]]-Table_supermarket_sales___Sheet13[[#This Row],[Cost Price]]</f>
        <v>14.265000000000001</v>
      </c>
    </row>
    <row r="210" spans="1:6" x14ac:dyDescent="0.35">
      <c r="A210" s="3" t="s">
        <v>6</v>
      </c>
      <c r="B210" s="27">
        <v>30.37</v>
      </c>
      <c r="C210" s="1">
        <v>3</v>
      </c>
      <c r="D210" s="31">
        <f>Table_supermarket_sales___Sheet1[[#This Row],[Cost Price]]+Table57[[#This Row],[Markup Cost]]</f>
        <v>34.9255</v>
      </c>
      <c r="E210" s="4">
        <v>3</v>
      </c>
      <c r="F210" s="20">
        <f>Table_supermarket_sales___Sheet13[[#This Row],[Selling Price]]-Table_supermarket_sales___Sheet13[[#This Row],[Cost Price]]</f>
        <v>4.5554999999999986</v>
      </c>
    </row>
    <row r="211" spans="1:6" x14ac:dyDescent="0.35">
      <c r="A211" s="3" t="s">
        <v>2</v>
      </c>
      <c r="B211" s="27">
        <v>99.73</v>
      </c>
      <c r="C211" s="1">
        <v>9</v>
      </c>
      <c r="D211" s="31">
        <f>Table_supermarket_sales___Sheet1[[#This Row],[Cost Price]]+Table57[[#This Row],[Markup Cost]]</f>
        <v>144.60849999999999</v>
      </c>
      <c r="E211" s="1">
        <v>9</v>
      </c>
      <c r="F211" s="20">
        <f>Table_supermarket_sales___Sheet13[[#This Row],[Selling Price]]-Table_supermarket_sales___Sheet13[[#This Row],[Cost Price]]</f>
        <v>44.878499999999988</v>
      </c>
    </row>
    <row r="212" spans="1:6" x14ac:dyDescent="0.35">
      <c r="A212" s="3" t="s">
        <v>2</v>
      </c>
      <c r="B212" s="27">
        <v>26.23</v>
      </c>
      <c r="C212" s="1">
        <v>9</v>
      </c>
      <c r="D212" s="31">
        <f>Table_supermarket_sales___Sheet1[[#This Row],[Cost Price]]+Table57[[#This Row],[Markup Cost]]</f>
        <v>38.033500000000004</v>
      </c>
      <c r="E212" s="4">
        <v>9</v>
      </c>
      <c r="F212" s="20">
        <f>Table_supermarket_sales___Sheet13[[#This Row],[Selling Price]]-Table_supermarket_sales___Sheet13[[#This Row],[Cost Price]]</f>
        <v>11.803500000000003</v>
      </c>
    </row>
    <row r="213" spans="1:6" x14ac:dyDescent="0.35">
      <c r="A213" s="3" t="s">
        <v>5</v>
      </c>
      <c r="B213" s="27">
        <v>93.26</v>
      </c>
      <c r="C213" s="1">
        <v>9</v>
      </c>
      <c r="D213" s="31">
        <f>Table_supermarket_sales___Sheet1[[#This Row],[Cost Price]]+Table57[[#This Row],[Markup Cost]]</f>
        <v>135.227</v>
      </c>
      <c r="E213" s="1">
        <v>9</v>
      </c>
      <c r="F213" s="20">
        <f>Table_supermarket_sales___Sheet13[[#This Row],[Selling Price]]-Table_supermarket_sales___Sheet13[[#This Row],[Cost Price]]</f>
        <v>41.966999999999999</v>
      </c>
    </row>
    <row r="214" spans="1:6" x14ac:dyDescent="0.35">
      <c r="A214" s="3" t="s">
        <v>3</v>
      </c>
      <c r="B214" s="27">
        <v>92.36</v>
      </c>
      <c r="C214" s="1">
        <v>5</v>
      </c>
      <c r="D214" s="31">
        <f>Table_supermarket_sales___Sheet1[[#This Row],[Cost Price]]+Table57[[#This Row],[Markup Cost]]</f>
        <v>115.45</v>
      </c>
      <c r="E214" s="4">
        <v>5</v>
      </c>
      <c r="F214" s="20">
        <f>Table_supermarket_sales___Sheet13[[#This Row],[Selling Price]]-Table_supermarket_sales___Sheet13[[#This Row],[Cost Price]]</f>
        <v>23.090000000000003</v>
      </c>
    </row>
    <row r="215" spans="1:6" x14ac:dyDescent="0.35">
      <c r="A215" s="3" t="s">
        <v>4</v>
      </c>
      <c r="B215" s="27">
        <v>46.42</v>
      </c>
      <c r="C215" s="1">
        <v>3</v>
      </c>
      <c r="D215" s="31">
        <f>Table_supermarket_sales___Sheet1[[#This Row],[Cost Price]]+Table57[[#This Row],[Markup Cost]]</f>
        <v>53.383000000000003</v>
      </c>
      <c r="E215" s="1">
        <v>3</v>
      </c>
      <c r="F215" s="20">
        <f>Table_supermarket_sales___Sheet13[[#This Row],[Selling Price]]-Table_supermarket_sales___Sheet13[[#This Row],[Cost Price]]</f>
        <v>6.963000000000001</v>
      </c>
    </row>
    <row r="216" spans="1:6" x14ac:dyDescent="0.35">
      <c r="A216" s="3" t="s">
        <v>4</v>
      </c>
      <c r="B216" s="27">
        <v>29.61</v>
      </c>
      <c r="C216" s="1">
        <v>7</v>
      </c>
      <c r="D216" s="31">
        <f>Table_supermarket_sales___Sheet1[[#This Row],[Cost Price]]+Table57[[#This Row],[Markup Cost]]</f>
        <v>39.973500000000001</v>
      </c>
      <c r="E216" s="4">
        <v>7</v>
      </c>
      <c r="F216" s="20">
        <f>Table_supermarket_sales___Sheet13[[#This Row],[Selling Price]]-Table_supermarket_sales___Sheet13[[#This Row],[Cost Price]]</f>
        <v>10.363500000000002</v>
      </c>
    </row>
    <row r="217" spans="1:6" x14ac:dyDescent="0.35">
      <c r="A217" s="3" t="s">
        <v>3</v>
      </c>
      <c r="B217" s="27">
        <v>18.28</v>
      </c>
      <c r="C217" s="1">
        <v>1</v>
      </c>
      <c r="D217" s="31">
        <f>Table_supermarket_sales___Sheet1[[#This Row],[Cost Price]]+Table57[[#This Row],[Markup Cost]]</f>
        <v>19.194000000000003</v>
      </c>
      <c r="E217" s="1">
        <v>1</v>
      </c>
      <c r="F217" s="20">
        <f>Table_supermarket_sales___Sheet13[[#This Row],[Selling Price]]-Table_supermarket_sales___Sheet13[[#This Row],[Cost Price]]</f>
        <v>0.91400000000000148</v>
      </c>
    </row>
    <row r="218" spans="1:6" x14ac:dyDescent="0.35">
      <c r="A218" s="3" t="s">
        <v>4</v>
      </c>
      <c r="B218" s="27">
        <v>24.77</v>
      </c>
      <c r="C218" s="1">
        <v>5</v>
      </c>
      <c r="D218" s="31">
        <f>Table_supermarket_sales___Sheet1[[#This Row],[Cost Price]]+Table57[[#This Row],[Markup Cost]]</f>
        <v>30.962499999999999</v>
      </c>
      <c r="E218" s="4">
        <v>5</v>
      </c>
      <c r="F218" s="20">
        <f>Table_supermarket_sales___Sheet13[[#This Row],[Selling Price]]-Table_supermarket_sales___Sheet13[[#This Row],[Cost Price]]</f>
        <v>6.192499999999999</v>
      </c>
    </row>
    <row r="219" spans="1:6" x14ac:dyDescent="0.35">
      <c r="A219" s="3" t="s">
        <v>2</v>
      </c>
      <c r="B219" s="27">
        <v>94.64</v>
      </c>
      <c r="C219" s="1">
        <v>3</v>
      </c>
      <c r="D219" s="31">
        <f>Table_supermarket_sales___Sheet1[[#This Row],[Cost Price]]+Table57[[#This Row],[Markup Cost]]</f>
        <v>108.836</v>
      </c>
      <c r="E219" s="1">
        <v>3</v>
      </c>
      <c r="F219" s="20">
        <f>Table_supermarket_sales___Sheet13[[#This Row],[Selling Price]]-Table_supermarket_sales___Sheet13[[#This Row],[Cost Price]]</f>
        <v>14.195999999999998</v>
      </c>
    </row>
    <row r="220" spans="1:6" x14ac:dyDescent="0.35">
      <c r="A220" s="3" t="s">
        <v>6</v>
      </c>
      <c r="B220" s="27">
        <v>94.87</v>
      </c>
      <c r="C220" s="1">
        <v>8</v>
      </c>
      <c r="D220" s="31">
        <f>Table_supermarket_sales___Sheet1[[#This Row],[Cost Price]]+Table57[[#This Row],[Markup Cost]]</f>
        <v>132.81800000000001</v>
      </c>
      <c r="E220" s="4">
        <v>8</v>
      </c>
      <c r="F220" s="20">
        <f>Table_supermarket_sales___Sheet13[[#This Row],[Selling Price]]-Table_supermarket_sales___Sheet13[[#This Row],[Cost Price]]</f>
        <v>37.948000000000008</v>
      </c>
    </row>
    <row r="221" spans="1:6" x14ac:dyDescent="0.35">
      <c r="A221" s="3" t="s">
        <v>5</v>
      </c>
      <c r="B221" s="27">
        <v>57.34</v>
      </c>
      <c r="C221" s="1">
        <v>3</v>
      </c>
      <c r="D221" s="31">
        <f>Table_supermarket_sales___Sheet1[[#This Row],[Cost Price]]+Table57[[#This Row],[Markup Cost]]</f>
        <v>65.941000000000003</v>
      </c>
      <c r="E221" s="1">
        <v>3</v>
      </c>
      <c r="F221" s="20">
        <f>Table_supermarket_sales___Sheet13[[#This Row],[Selling Price]]-Table_supermarket_sales___Sheet13[[#This Row],[Cost Price]]</f>
        <v>8.6009999999999991</v>
      </c>
    </row>
    <row r="222" spans="1:6" x14ac:dyDescent="0.35">
      <c r="A222" s="3" t="s">
        <v>2</v>
      </c>
      <c r="B222" s="27">
        <v>45.35</v>
      </c>
      <c r="C222" s="1">
        <v>6</v>
      </c>
      <c r="D222" s="31">
        <f>Table_supermarket_sales___Sheet1[[#This Row],[Cost Price]]+Table57[[#This Row],[Markup Cost]]</f>
        <v>58.954999999999998</v>
      </c>
      <c r="E222" s="4">
        <v>6</v>
      </c>
      <c r="F222" s="20">
        <f>Table_supermarket_sales___Sheet13[[#This Row],[Selling Price]]-Table_supermarket_sales___Sheet13[[#This Row],[Cost Price]]</f>
        <v>13.604999999999997</v>
      </c>
    </row>
    <row r="223" spans="1:6" x14ac:dyDescent="0.35">
      <c r="A223" s="3" t="s">
        <v>5</v>
      </c>
      <c r="B223" s="27">
        <v>62.08</v>
      </c>
      <c r="C223" s="1">
        <v>7</v>
      </c>
      <c r="D223" s="31">
        <f>Table_supermarket_sales___Sheet1[[#This Row],[Cost Price]]+Table57[[#This Row],[Markup Cost]]</f>
        <v>83.807999999999993</v>
      </c>
      <c r="E223" s="1">
        <v>7</v>
      </c>
      <c r="F223" s="20">
        <f>Table_supermarket_sales___Sheet13[[#This Row],[Selling Price]]-Table_supermarket_sales___Sheet13[[#This Row],[Cost Price]]</f>
        <v>21.727999999999994</v>
      </c>
    </row>
    <row r="224" spans="1:6" x14ac:dyDescent="0.35">
      <c r="A224" s="3" t="s">
        <v>2</v>
      </c>
      <c r="B224" s="27">
        <v>11.81</v>
      </c>
      <c r="C224" s="1">
        <v>5</v>
      </c>
      <c r="D224" s="31">
        <f>Table_supermarket_sales___Sheet1[[#This Row],[Cost Price]]+Table57[[#This Row],[Markup Cost]]</f>
        <v>14.762500000000001</v>
      </c>
      <c r="E224" s="4">
        <v>5</v>
      </c>
      <c r="F224" s="20">
        <f>Table_supermarket_sales___Sheet13[[#This Row],[Selling Price]]-Table_supermarket_sales___Sheet13[[#This Row],[Cost Price]]</f>
        <v>2.9525000000000006</v>
      </c>
    </row>
    <row r="225" spans="1:6" x14ac:dyDescent="0.35">
      <c r="A225" s="3" t="s">
        <v>6</v>
      </c>
      <c r="B225" s="27">
        <v>12.54</v>
      </c>
      <c r="C225" s="1">
        <v>1</v>
      </c>
      <c r="D225" s="31">
        <f>Table_supermarket_sales___Sheet1[[#This Row],[Cost Price]]+Table57[[#This Row],[Markup Cost]]</f>
        <v>13.167</v>
      </c>
      <c r="E225" s="1">
        <v>1</v>
      </c>
      <c r="F225" s="20">
        <f>Table_supermarket_sales___Sheet13[[#This Row],[Selling Price]]-Table_supermarket_sales___Sheet13[[#This Row],[Cost Price]]</f>
        <v>0.62700000000000067</v>
      </c>
    </row>
    <row r="226" spans="1:6" x14ac:dyDescent="0.35">
      <c r="A226" s="3" t="s">
        <v>5</v>
      </c>
      <c r="B226" s="27">
        <v>43.25</v>
      </c>
      <c r="C226" s="1">
        <v>2</v>
      </c>
      <c r="D226" s="31">
        <f>Table_supermarket_sales___Sheet1[[#This Row],[Cost Price]]+Table57[[#This Row],[Markup Cost]]</f>
        <v>47.575000000000003</v>
      </c>
      <c r="E226" s="4">
        <v>2</v>
      </c>
      <c r="F226" s="20">
        <f>Table_supermarket_sales___Sheet13[[#This Row],[Selling Price]]-Table_supermarket_sales___Sheet13[[#This Row],[Cost Price]]</f>
        <v>4.3250000000000028</v>
      </c>
    </row>
    <row r="227" spans="1:6" x14ac:dyDescent="0.35">
      <c r="A227" s="3" t="s">
        <v>4</v>
      </c>
      <c r="B227" s="27">
        <v>87.16</v>
      </c>
      <c r="C227" s="1">
        <v>2</v>
      </c>
      <c r="D227" s="31">
        <f>Table_supermarket_sales___Sheet1[[#This Row],[Cost Price]]+Table57[[#This Row],[Markup Cost]]</f>
        <v>95.875999999999991</v>
      </c>
      <c r="E227" s="1">
        <v>2</v>
      </c>
      <c r="F227" s="20">
        <f>Table_supermarket_sales___Sheet13[[#This Row],[Selling Price]]-Table_supermarket_sales___Sheet13[[#This Row],[Cost Price]]</f>
        <v>8.715999999999994</v>
      </c>
    </row>
    <row r="228" spans="1:6" x14ac:dyDescent="0.35">
      <c r="A228" s="3" t="s">
        <v>1</v>
      </c>
      <c r="B228" s="27">
        <v>69.37</v>
      </c>
      <c r="C228" s="1">
        <v>9</v>
      </c>
      <c r="D228" s="31">
        <f>Table_supermarket_sales___Sheet1[[#This Row],[Cost Price]]+Table57[[#This Row],[Markup Cost]]</f>
        <v>100.5865</v>
      </c>
      <c r="E228" s="4">
        <v>9</v>
      </c>
      <c r="F228" s="20">
        <f>Table_supermarket_sales___Sheet13[[#This Row],[Selling Price]]-Table_supermarket_sales___Sheet13[[#This Row],[Cost Price]]</f>
        <v>31.216499999999996</v>
      </c>
    </row>
    <row r="229" spans="1:6" x14ac:dyDescent="0.35">
      <c r="A229" s="3" t="s">
        <v>2</v>
      </c>
      <c r="B229" s="27">
        <v>37.06</v>
      </c>
      <c r="C229" s="1">
        <v>4</v>
      </c>
      <c r="D229" s="31">
        <f>Table_supermarket_sales___Sheet1[[#This Row],[Cost Price]]+Table57[[#This Row],[Markup Cost]]</f>
        <v>44.472000000000001</v>
      </c>
      <c r="E229" s="1">
        <v>4</v>
      </c>
      <c r="F229" s="20">
        <f>Table_supermarket_sales___Sheet13[[#This Row],[Selling Price]]-Table_supermarket_sales___Sheet13[[#This Row],[Cost Price]]</f>
        <v>7.411999999999999</v>
      </c>
    </row>
    <row r="230" spans="1:6" x14ac:dyDescent="0.35">
      <c r="A230" s="3" t="s">
        <v>2</v>
      </c>
      <c r="B230" s="27">
        <v>90.7</v>
      </c>
      <c r="C230" s="1">
        <v>6</v>
      </c>
      <c r="D230" s="31">
        <f>Table_supermarket_sales___Sheet1[[#This Row],[Cost Price]]+Table57[[#This Row],[Markup Cost]]</f>
        <v>117.91</v>
      </c>
      <c r="E230" s="4">
        <v>6</v>
      </c>
      <c r="F230" s="20">
        <f>Table_supermarket_sales___Sheet13[[#This Row],[Selling Price]]-Table_supermarket_sales___Sheet13[[#This Row],[Cost Price]]</f>
        <v>27.209999999999994</v>
      </c>
    </row>
    <row r="231" spans="1:6" x14ac:dyDescent="0.35">
      <c r="A231" s="3" t="s">
        <v>3</v>
      </c>
      <c r="B231" s="27">
        <v>63.42</v>
      </c>
      <c r="C231" s="1">
        <v>8</v>
      </c>
      <c r="D231" s="31">
        <f>Table_supermarket_sales___Sheet1[[#This Row],[Cost Price]]+Table57[[#This Row],[Markup Cost]]</f>
        <v>88.787999999999997</v>
      </c>
      <c r="E231" s="1">
        <v>8</v>
      </c>
      <c r="F231" s="20">
        <f>Table_supermarket_sales___Sheet13[[#This Row],[Selling Price]]-Table_supermarket_sales___Sheet13[[#This Row],[Cost Price]]</f>
        <v>25.367999999999995</v>
      </c>
    </row>
    <row r="232" spans="1:6" x14ac:dyDescent="0.35">
      <c r="A232" s="3" t="s">
        <v>6</v>
      </c>
      <c r="B232" s="27">
        <v>81.37</v>
      </c>
      <c r="C232" s="1">
        <v>2</v>
      </c>
      <c r="D232" s="31">
        <f>Table_supermarket_sales___Sheet1[[#This Row],[Cost Price]]+Table57[[#This Row],[Markup Cost]]</f>
        <v>89.507000000000005</v>
      </c>
      <c r="E232" s="4">
        <v>2</v>
      </c>
      <c r="F232" s="20">
        <f>Table_supermarket_sales___Sheet13[[#This Row],[Selling Price]]-Table_supermarket_sales___Sheet13[[#This Row],[Cost Price]]</f>
        <v>8.1370000000000005</v>
      </c>
    </row>
    <row r="233" spans="1:6" x14ac:dyDescent="0.35">
      <c r="A233" s="3" t="s">
        <v>2</v>
      </c>
      <c r="B233" s="27">
        <v>10.59</v>
      </c>
      <c r="C233" s="1">
        <v>3</v>
      </c>
      <c r="D233" s="31">
        <f>Table_supermarket_sales___Sheet1[[#This Row],[Cost Price]]+Table57[[#This Row],[Markup Cost]]</f>
        <v>12.1785</v>
      </c>
      <c r="E233" s="1">
        <v>3</v>
      </c>
      <c r="F233" s="20">
        <f>Table_supermarket_sales___Sheet13[[#This Row],[Selling Price]]-Table_supermarket_sales___Sheet13[[#This Row],[Cost Price]]</f>
        <v>1.5884999999999998</v>
      </c>
    </row>
    <row r="234" spans="1:6" x14ac:dyDescent="0.35">
      <c r="A234" s="3" t="s">
        <v>1</v>
      </c>
      <c r="B234" s="27">
        <v>84.09</v>
      </c>
      <c r="C234" s="1">
        <v>9</v>
      </c>
      <c r="D234" s="31">
        <f>Table_supermarket_sales___Sheet1[[#This Row],[Cost Price]]+Table57[[#This Row],[Markup Cost]]</f>
        <v>121.93049999999999</v>
      </c>
      <c r="E234" s="4">
        <v>9</v>
      </c>
      <c r="F234" s="20">
        <f>Table_supermarket_sales___Sheet13[[#This Row],[Selling Price]]-Table_supermarket_sales___Sheet13[[#This Row],[Cost Price]]</f>
        <v>37.840499999999992</v>
      </c>
    </row>
    <row r="235" spans="1:6" x14ac:dyDescent="0.35">
      <c r="A235" s="3" t="s">
        <v>6</v>
      </c>
      <c r="B235" s="27">
        <v>73.819999999999993</v>
      </c>
      <c r="C235" s="1">
        <v>4</v>
      </c>
      <c r="D235" s="31">
        <f>Table_supermarket_sales___Sheet1[[#This Row],[Cost Price]]+Table57[[#This Row],[Markup Cost]]</f>
        <v>88.583999999999989</v>
      </c>
      <c r="E235" s="1">
        <v>4</v>
      </c>
      <c r="F235" s="20">
        <f>Table_supermarket_sales___Sheet13[[#This Row],[Selling Price]]-Table_supermarket_sales___Sheet13[[#This Row],[Cost Price]]</f>
        <v>14.763999999999996</v>
      </c>
    </row>
    <row r="236" spans="1:6" x14ac:dyDescent="0.35">
      <c r="A236" s="3" t="s">
        <v>1</v>
      </c>
      <c r="B236" s="27">
        <v>51.94</v>
      </c>
      <c r="C236" s="1">
        <v>10</v>
      </c>
      <c r="D236" s="31">
        <f>Table_supermarket_sales___Sheet1[[#This Row],[Cost Price]]+Table57[[#This Row],[Markup Cost]]</f>
        <v>77.91</v>
      </c>
      <c r="E236" s="4">
        <v>10</v>
      </c>
      <c r="F236" s="20">
        <f>Table_supermarket_sales___Sheet13[[#This Row],[Selling Price]]-Table_supermarket_sales___Sheet13[[#This Row],[Cost Price]]</f>
        <v>25.97</v>
      </c>
    </row>
    <row r="237" spans="1:6" x14ac:dyDescent="0.35">
      <c r="A237" s="3" t="s">
        <v>4</v>
      </c>
      <c r="B237" s="27">
        <v>93.14</v>
      </c>
      <c r="C237" s="1">
        <v>2</v>
      </c>
      <c r="D237" s="31">
        <f>Table_supermarket_sales___Sheet1[[#This Row],[Cost Price]]+Table57[[#This Row],[Markup Cost]]</f>
        <v>102.45400000000001</v>
      </c>
      <c r="E237" s="1">
        <v>2</v>
      </c>
      <c r="F237" s="20">
        <f>Table_supermarket_sales___Sheet13[[#This Row],[Selling Price]]-Table_supermarket_sales___Sheet13[[#This Row],[Cost Price]]</f>
        <v>9.3140000000000072</v>
      </c>
    </row>
    <row r="238" spans="1:6" x14ac:dyDescent="0.35">
      <c r="A238" s="3" t="s">
        <v>1</v>
      </c>
      <c r="B238" s="27">
        <v>17.41</v>
      </c>
      <c r="C238" s="1">
        <v>5</v>
      </c>
      <c r="D238" s="31">
        <f>Table_supermarket_sales___Sheet1[[#This Row],[Cost Price]]+Table57[[#This Row],[Markup Cost]]</f>
        <v>21.762499999999999</v>
      </c>
      <c r="E238" s="4">
        <v>5</v>
      </c>
      <c r="F238" s="20">
        <f>Table_supermarket_sales___Sheet13[[#This Row],[Selling Price]]-Table_supermarket_sales___Sheet13[[#This Row],[Cost Price]]</f>
        <v>4.3524999999999991</v>
      </c>
    </row>
    <row r="239" spans="1:6" x14ac:dyDescent="0.35">
      <c r="A239" s="3" t="s">
        <v>6</v>
      </c>
      <c r="B239" s="27">
        <v>44.22</v>
      </c>
      <c r="C239" s="1">
        <v>5</v>
      </c>
      <c r="D239" s="31">
        <f>Table_supermarket_sales___Sheet1[[#This Row],[Cost Price]]+Table57[[#This Row],[Markup Cost]]</f>
        <v>55.274999999999999</v>
      </c>
      <c r="E239" s="1">
        <v>5</v>
      </c>
      <c r="F239" s="20">
        <f>Table_supermarket_sales___Sheet13[[#This Row],[Selling Price]]-Table_supermarket_sales___Sheet13[[#This Row],[Cost Price]]</f>
        <v>11.055</v>
      </c>
    </row>
    <row r="240" spans="1:6" x14ac:dyDescent="0.35">
      <c r="A240" s="3" t="s">
        <v>2</v>
      </c>
      <c r="B240" s="27">
        <v>13.22</v>
      </c>
      <c r="C240" s="1">
        <v>5</v>
      </c>
      <c r="D240" s="31">
        <f>Table_supermarket_sales___Sheet1[[#This Row],[Cost Price]]+Table57[[#This Row],[Markup Cost]]</f>
        <v>16.525000000000002</v>
      </c>
      <c r="E240" s="4">
        <v>5</v>
      </c>
      <c r="F240" s="20">
        <f>Table_supermarket_sales___Sheet13[[#This Row],[Selling Price]]-Table_supermarket_sales___Sheet13[[#This Row],[Cost Price]]</f>
        <v>3.3050000000000015</v>
      </c>
    </row>
    <row r="241" spans="1:6" x14ac:dyDescent="0.35">
      <c r="A241" s="3" t="s">
        <v>6</v>
      </c>
      <c r="B241" s="27">
        <v>89.69</v>
      </c>
      <c r="C241" s="1">
        <v>1</v>
      </c>
      <c r="D241" s="31">
        <f>Table_supermarket_sales___Sheet1[[#This Row],[Cost Price]]+Table57[[#This Row],[Markup Cost]]</f>
        <v>94.174499999999995</v>
      </c>
      <c r="E241" s="1">
        <v>1</v>
      </c>
      <c r="F241" s="20">
        <f>Table_supermarket_sales___Sheet13[[#This Row],[Selling Price]]-Table_supermarket_sales___Sheet13[[#This Row],[Cost Price]]</f>
        <v>4.484499999999997</v>
      </c>
    </row>
    <row r="242" spans="1:6" x14ac:dyDescent="0.35">
      <c r="A242" s="3" t="s">
        <v>5</v>
      </c>
      <c r="B242" s="27">
        <v>24.94</v>
      </c>
      <c r="C242" s="1">
        <v>9</v>
      </c>
      <c r="D242" s="31">
        <f>Table_supermarket_sales___Sheet1[[#This Row],[Cost Price]]+Table57[[#This Row],[Markup Cost]]</f>
        <v>36.163000000000004</v>
      </c>
      <c r="E242" s="4">
        <v>9</v>
      </c>
      <c r="F242" s="20">
        <f>Table_supermarket_sales___Sheet13[[#This Row],[Selling Price]]-Table_supermarket_sales___Sheet13[[#This Row],[Cost Price]]</f>
        <v>11.223000000000003</v>
      </c>
    </row>
    <row r="243" spans="1:6" x14ac:dyDescent="0.35">
      <c r="A243" s="3" t="s">
        <v>1</v>
      </c>
      <c r="B243" s="27">
        <v>59.77</v>
      </c>
      <c r="C243" s="1">
        <v>2</v>
      </c>
      <c r="D243" s="31">
        <f>Table_supermarket_sales___Sheet1[[#This Row],[Cost Price]]+Table57[[#This Row],[Markup Cost]]</f>
        <v>65.747</v>
      </c>
      <c r="E243" s="1">
        <v>2</v>
      </c>
      <c r="F243" s="20">
        <f>Table_supermarket_sales___Sheet13[[#This Row],[Selling Price]]-Table_supermarket_sales___Sheet13[[#This Row],[Cost Price]]</f>
        <v>5.9769999999999968</v>
      </c>
    </row>
    <row r="244" spans="1:6" x14ac:dyDescent="0.35">
      <c r="A244" s="3" t="s">
        <v>6</v>
      </c>
      <c r="B244" s="27">
        <v>93.2</v>
      </c>
      <c r="C244" s="1">
        <v>2</v>
      </c>
      <c r="D244" s="31">
        <f>Table_supermarket_sales___Sheet1[[#This Row],[Cost Price]]+Table57[[#This Row],[Markup Cost]]</f>
        <v>102.52000000000001</v>
      </c>
      <c r="E244" s="4">
        <v>2</v>
      </c>
      <c r="F244" s="20">
        <f>Table_supermarket_sales___Sheet13[[#This Row],[Selling Price]]-Table_supermarket_sales___Sheet13[[#This Row],[Cost Price]]</f>
        <v>9.3200000000000074</v>
      </c>
    </row>
    <row r="245" spans="1:6" x14ac:dyDescent="0.35">
      <c r="A245" s="3" t="s">
        <v>3</v>
      </c>
      <c r="B245" s="27">
        <v>62.65</v>
      </c>
      <c r="C245" s="1">
        <v>4</v>
      </c>
      <c r="D245" s="31">
        <f>Table_supermarket_sales___Sheet1[[#This Row],[Cost Price]]+Table57[[#This Row],[Markup Cost]]</f>
        <v>75.179999999999993</v>
      </c>
      <c r="E245" s="1">
        <v>4</v>
      </c>
      <c r="F245" s="20">
        <f>Table_supermarket_sales___Sheet13[[#This Row],[Selling Price]]-Table_supermarket_sales___Sheet13[[#This Row],[Cost Price]]</f>
        <v>12.529999999999994</v>
      </c>
    </row>
    <row r="246" spans="1:6" x14ac:dyDescent="0.35">
      <c r="A246" s="3" t="s">
        <v>3</v>
      </c>
      <c r="B246" s="27">
        <v>93.87</v>
      </c>
      <c r="C246" s="1">
        <v>8</v>
      </c>
      <c r="D246" s="31">
        <f>Table_supermarket_sales___Sheet1[[#This Row],[Cost Price]]+Table57[[#This Row],[Markup Cost]]</f>
        <v>131.41800000000001</v>
      </c>
      <c r="E246" s="4">
        <v>8</v>
      </c>
      <c r="F246" s="20">
        <f>Table_supermarket_sales___Sheet13[[#This Row],[Selling Price]]-Table_supermarket_sales___Sheet13[[#This Row],[Cost Price]]</f>
        <v>37.548000000000002</v>
      </c>
    </row>
    <row r="247" spans="1:6" x14ac:dyDescent="0.35">
      <c r="A247" s="3" t="s">
        <v>3</v>
      </c>
      <c r="B247" s="27">
        <v>47.59</v>
      </c>
      <c r="C247" s="1">
        <v>8</v>
      </c>
      <c r="D247" s="31">
        <f>Table_supermarket_sales___Sheet1[[#This Row],[Cost Price]]+Table57[[#This Row],[Markup Cost]]</f>
        <v>66.626000000000005</v>
      </c>
      <c r="E247" s="1">
        <v>8</v>
      </c>
      <c r="F247" s="20">
        <f>Table_supermarket_sales___Sheet13[[#This Row],[Selling Price]]-Table_supermarket_sales___Sheet13[[#This Row],[Cost Price]]</f>
        <v>19.036000000000001</v>
      </c>
    </row>
    <row r="248" spans="1:6" x14ac:dyDescent="0.35">
      <c r="A248" s="3" t="s">
        <v>2</v>
      </c>
      <c r="B248" s="27">
        <v>81.400000000000006</v>
      </c>
      <c r="C248" s="1">
        <v>3</v>
      </c>
      <c r="D248" s="31">
        <f>Table_supermarket_sales___Sheet1[[#This Row],[Cost Price]]+Table57[[#This Row],[Markup Cost]]</f>
        <v>93.610000000000014</v>
      </c>
      <c r="E248" s="4">
        <v>3</v>
      </c>
      <c r="F248" s="20">
        <f>Table_supermarket_sales___Sheet13[[#This Row],[Selling Price]]-Table_supermarket_sales___Sheet13[[#This Row],[Cost Price]]</f>
        <v>12.210000000000008</v>
      </c>
    </row>
    <row r="249" spans="1:6" x14ac:dyDescent="0.35">
      <c r="A249" s="3" t="s">
        <v>6</v>
      </c>
      <c r="B249" s="27">
        <v>17.940000000000001</v>
      </c>
      <c r="C249" s="1">
        <v>5</v>
      </c>
      <c r="D249" s="31">
        <f>Table_supermarket_sales___Sheet1[[#This Row],[Cost Price]]+Table57[[#This Row],[Markup Cost]]</f>
        <v>22.425000000000001</v>
      </c>
      <c r="E249" s="1">
        <v>5</v>
      </c>
      <c r="F249" s="20">
        <f>Table_supermarket_sales___Sheet13[[#This Row],[Selling Price]]-Table_supermarket_sales___Sheet13[[#This Row],[Cost Price]]</f>
        <v>4.4849999999999994</v>
      </c>
    </row>
    <row r="250" spans="1:6" x14ac:dyDescent="0.35">
      <c r="A250" s="3" t="s">
        <v>2</v>
      </c>
      <c r="B250" s="27">
        <v>77.72</v>
      </c>
      <c r="C250" s="1">
        <v>4</v>
      </c>
      <c r="D250" s="31">
        <f>Table_supermarket_sales___Sheet1[[#This Row],[Cost Price]]+Table57[[#This Row],[Markup Cost]]</f>
        <v>93.263999999999996</v>
      </c>
      <c r="E250" s="4">
        <v>4</v>
      </c>
      <c r="F250" s="20">
        <f>Table_supermarket_sales___Sheet13[[#This Row],[Selling Price]]-Table_supermarket_sales___Sheet13[[#This Row],[Cost Price]]</f>
        <v>15.543999999999997</v>
      </c>
    </row>
    <row r="251" spans="1:6" x14ac:dyDescent="0.35">
      <c r="A251" s="3" t="s">
        <v>5</v>
      </c>
      <c r="B251" s="27">
        <v>73.06</v>
      </c>
      <c r="C251" s="1">
        <v>7</v>
      </c>
      <c r="D251" s="31">
        <f>Table_supermarket_sales___Sheet1[[#This Row],[Cost Price]]+Table57[[#This Row],[Markup Cost]]</f>
        <v>98.631</v>
      </c>
      <c r="E251" s="1">
        <v>7</v>
      </c>
      <c r="F251" s="20">
        <f>Table_supermarket_sales___Sheet13[[#This Row],[Selling Price]]-Table_supermarket_sales___Sheet13[[#This Row],[Cost Price]]</f>
        <v>25.570999999999998</v>
      </c>
    </row>
    <row r="252" spans="1:6" x14ac:dyDescent="0.35">
      <c r="A252" s="3" t="s">
        <v>5</v>
      </c>
      <c r="B252" s="27">
        <v>46.55</v>
      </c>
      <c r="C252" s="1">
        <v>9</v>
      </c>
      <c r="D252" s="31">
        <f>Table_supermarket_sales___Sheet1[[#This Row],[Cost Price]]+Table57[[#This Row],[Markup Cost]]</f>
        <v>67.497500000000002</v>
      </c>
      <c r="E252" s="4">
        <v>9</v>
      </c>
      <c r="F252" s="20">
        <f>Table_supermarket_sales___Sheet13[[#This Row],[Selling Price]]-Table_supermarket_sales___Sheet13[[#This Row],[Cost Price]]</f>
        <v>20.947500000000005</v>
      </c>
    </row>
    <row r="253" spans="1:6" x14ac:dyDescent="0.35">
      <c r="A253" s="3" t="s">
        <v>6</v>
      </c>
      <c r="B253" s="27">
        <v>35.19</v>
      </c>
      <c r="C253" s="1">
        <v>10</v>
      </c>
      <c r="D253" s="31">
        <f>Table_supermarket_sales___Sheet1[[#This Row],[Cost Price]]+Table57[[#This Row],[Markup Cost]]</f>
        <v>52.784999999999997</v>
      </c>
      <c r="E253" s="1">
        <v>10</v>
      </c>
      <c r="F253" s="20">
        <f>Table_supermarket_sales___Sheet13[[#This Row],[Selling Price]]-Table_supermarket_sales___Sheet13[[#This Row],[Cost Price]]</f>
        <v>17.594999999999999</v>
      </c>
    </row>
    <row r="254" spans="1:6" x14ac:dyDescent="0.35">
      <c r="A254" s="3" t="s">
        <v>4</v>
      </c>
      <c r="B254" s="27">
        <v>14.39</v>
      </c>
      <c r="C254" s="1">
        <v>2</v>
      </c>
      <c r="D254" s="31">
        <f>Table_supermarket_sales___Sheet1[[#This Row],[Cost Price]]+Table57[[#This Row],[Markup Cost]]</f>
        <v>15.829000000000001</v>
      </c>
      <c r="E254" s="4">
        <v>2</v>
      </c>
      <c r="F254" s="20">
        <f>Table_supermarket_sales___Sheet13[[#This Row],[Selling Price]]-Table_supermarket_sales___Sheet13[[#This Row],[Cost Price]]</f>
        <v>1.4390000000000001</v>
      </c>
    </row>
    <row r="255" spans="1:6" x14ac:dyDescent="0.35">
      <c r="A255" s="3" t="s">
        <v>3</v>
      </c>
      <c r="B255" s="27">
        <v>23.75</v>
      </c>
      <c r="C255" s="1">
        <v>4</v>
      </c>
      <c r="D255" s="31">
        <f>Table_supermarket_sales___Sheet1[[#This Row],[Cost Price]]+Table57[[#This Row],[Markup Cost]]</f>
        <v>28.5</v>
      </c>
      <c r="E255" s="1">
        <v>4</v>
      </c>
      <c r="F255" s="20">
        <f>Table_supermarket_sales___Sheet13[[#This Row],[Selling Price]]-Table_supermarket_sales___Sheet13[[#This Row],[Cost Price]]</f>
        <v>4.75</v>
      </c>
    </row>
    <row r="256" spans="1:6" x14ac:dyDescent="0.35">
      <c r="A256" s="3" t="s">
        <v>3</v>
      </c>
      <c r="B256" s="27">
        <v>58.9</v>
      </c>
      <c r="C256" s="1">
        <v>8</v>
      </c>
      <c r="D256" s="31">
        <f>Table_supermarket_sales___Sheet1[[#This Row],[Cost Price]]+Table57[[#This Row],[Markup Cost]]</f>
        <v>82.46</v>
      </c>
      <c r="E256" s="4">
        <v>8</v>
      </c>
      <c r="F256" s="20">
        <f>Table_supermarket_sales___Sheet13[[#This Row],[Selling Price]]-Table_supermarket_sales___Sheet13[[#This Row],[Cost Price]]</f>
        <v>23.559999999999995</v>
      </c>
    </row>
    <row r="257" spans="1:6" x14ac:dyDescent="0.35">
      <c r="A257" s="3" t="s">
        <v>6</v>
      </c>
      <c r="B257" s="27">
        <v>32.619999999999997</v>
      </c>
      <c r="C257" s="1">
        <v>4</v>
      </c>
      <c r="D257" s="31">
        <f>Table_supermarket_sales___Sheet1[[#This Row],[Cost Price]]+Table57[[#This Row],[Markup Cost]]</f>
        <v>39.143999999999998</v>
      </c>
      <c r="E257" s="1">
        <v>4</v>
      </c>
      <c r="F257" s="20">
        <f>Table_supermarket_sales___Sheet13[[#This Row],[Selling Price]]-Table_supermarket_sales___Sheet13[[#This Row],[Cost Price]]</f>
        <v>6.5240000000000009</v>
      </c>
    </row>
    <row r="258" spans="1:6" x14ac:dyDescent="0.35">
      <c r="A258" s="3" t="s">
        <v>2</v>
      </c>
      <c r="B258" s="27">
        <v>66.349999999999994</v>
      </c>
      <c r="C258" s="1">
        <v>1</v>
      </c>
      <c r="D258" s="31">
        <f>Table_supermarket_sales___Sheet1[[#This Row],[Cost Price]]+Table57[[#This Row],[Markup Cost]]</f>
        <v>69.66749999999999</v>
      </c>
      <c r="E258" s="4">
        <v>1</v>
      </c>
      <c r="F258" s="20">
        <f>Table_supermarket_sales___Sheet13[[#This Row],[Selling Price]]-Table_supermarket_sales___Sheet13[[#This Row],[Cost Price]]</f>
        <v>3.3174999999999955</v>
      </c>
    </row>
    <row r="259" spans="1:6" x14ac:dyDescent="0.35">
      <c r="A259" s="3" t="s">
        <v>3</v>
      </c>
      <c r="B259" s="27">
        <v>25.91</v>
      </c>
      <c r="C259" s="1">
        <v>6</v>
      </c>
      <c r="D259" s="31">
        <f>Table_supermarket_sales___Sheet1[[#This Row],[Cost Price]]+Table57[[#This Row],[Markup Cost]]</f>
        <v>33.683</v>
      </c>
      <c r="E259" s="1">
        <v>6</v>
      </c>
      <c r="F259" s="20">
        <f>Table_supermarket_sales___Sheet13[[#This Row],[Selling Price]]-Table_supermarket_sales___Sheet13[[#This Row],[Cost Price]]</f>
        <v>7.7729999999999997</v>
      </c>
    </row>
    <row r="260" spans="1:6" x14ac:dyDescent="0.35">
      <c r="A260" s="3" t="s">
        <v>2</v>
      </c>
      <c r="B260" s="27">
        <v>32.25</v>
      </c>
      <c r="C260" s="1">
        <v>4</v>
      </c>
      <c r="D260" s="31">
        <f>Table_supermarket_sales___Sheet1[[#This Row],[Cost Price]]+Table57[[#This Row],[Markup Cost]]</f>
        <v>38.700000000000003</v>
      </c>
      <c r="E260" s="4">
        <v>4</v>
      </c>
      <c r="F260" s="20">
        <f>Table_supermarket_sales___Sheet13[[#This Row],[Selling Price]]-Table_supermarket_sales___Sheet13[[#This Row],[Cost Price]]</f>
        <v>6.4500000000000028</v>
      </c>
    </row>
    <row r="261" spans="1:6" x14ac:dyDescent="0.35">
      <c r="A261" s="3" t="s">
        <v>2</v>
      </c>
      <c r="B261" s="27">
        <v>65.94</v>
      </c>
      <c r="C261" s="1">
        <v>4</v>
      </c>
      <c r="D261" s="31">
        <f>Table_supermarket_sales___Sheet1[[#This Row],[Cost Price]]+Table57[[#This Row],[Markup Cost]]</f>
        <v>79.128</v>
      </c>
      <c r="E261" s="1">
        <v>4</v>
      </c>
      <c r="F261" s="20">
        <f>Table_supermarket_sales___Sheet13[[#This Row],[Selling Price]]-Table_supermarket_sales___Sheet13[[#This Row],[Cost Price]]</f>
        <v>13.188000000000002</v>
      </c>
    </row>
    <row r="262" spans="1:6" x14ac:dyDescent="0.35">
      <c r="A262" s="3" t="s">
        <v>2</v>
      </c>
      <c r="B262" s="27">
        <v>75.06</v>
      </c>
      <c r="C262" s="1">
        <v>9</v>
      </c>
      <c r="D262" s="31">
        <f>Table_supermarket_sales___Sheet1[[#This Row],[Cost Price]]+Table57[[#This Row],[Markup Cost]]</f>
        <v>108.837</v>
      </c>
      <c r="E262" s="4">
        <v>9</v>
      </c>
      <c r="F262" s="20">
        <f>Table_supermarket_sales___Sheet13[[#This Row],[Selling Price]]-Table_supermarket_sales___Sheet13[[#This Row],[Cost Price]]</f>
        <v>33.777000000000001</v>
      </c>
    </row>
    <row r="263" spans="1:6" x14ac:dyDescent="0.35">
      <c r="A263" s="3" t="s">
        <v>6</v>
      </c>
      <c r="B263" s="27">
        <v>16.45</v>
      </c>
      <c r="C263" s="1">
        <v>4</v>
      </c>
      <c r="D263" s="31">
        <f>Table_supermarket_sales___Sheet1[[#This Row],[Cost Price]]+Table57[[#This Row],[Markup Cost]]</f>
        <v>19.739999999999998</v>
      </c>
      <c r="E263" s="1">
        <v>4</v>
      </c>
      <c r="F263" s="20">
        <f>Table_supermarket_sales___Sheet13[[#This Row],[Selling Price]]-Table_supermarket_sales___Sheet13[[#This Row],[Cost Price]]</f>
        <v>3.2899999999999991</v>
      </c>
    </row>
    <row r="264" spans="1:6" x14ac:dyDescent="0.35">
      <c r="A264" s="3" t="s">
        <v>6</v>
      </c>
      <c r="B264" s="27">
        <v>38.299999999999997</v>
      </c>
      <c r="C264" s="1">
        <v>4</v>
      </c>
      <c r="D264" s="31">
        <f>Table_supermarket_sales___Sheet1[[#This Row],[Cost Price]]+Table57[[#This Row],[Markup Cost]]</f>
        <v>45.959999999999994</v>
      </c>
      <c r="E264" s="4">
        <v>4</v>
      </c>
      <c r="F264" s="20">
        <f>Table_supermarket_sales___Sheet13[[#This Row],[Selling Price]]-Table_supermarket_sales___Sheet13[[#This Row],[Cost Price]]</f>
        <v>7.6599999999999966</v>
      </c>
    </row>
    <row r="265" spans="1:6" x14ac:dyDescent="0.35">
      <c r="A265" s="3" t="s">
        <v>4</v>
      </c>
      <c r="B265" s="27">
        <v>22.24</v>
      </c>
      <c r="C265" s="1">
        <v>10</v>
      </c>
      <c r="D265" s="31">
        <f>Table_supermarket_sales___Sheet1[[#This Row],[Cost Price]]+Table57[[#This Row],[Markup Cost]]</f>
        <v>33.36</v>
      </c>
      <c r="E265" s="1">
        <v>10</v>
      </c>
      <c r="F265" s="20">
        <f>Table_supermarket_sales___Sheet13[[#This Row],[Selling Price]]-Table_supermarket_sales___Sheet13[[#This Row],[Cost Price]]</f>
        <v>11.120000000000001</v>
      </c>
    </row>
    <row r="266" spans="1:6" x14ac:dyDescent="0.35">
      <c r="A266" s="3" t="s">
        <v>4</v>
      </c>
      <c r="B266" s="27">
        <v>54.45</v>
      </c>
      <c r="C266" s="1">
        <v>1</v>
      </c>
      <c r="D266" s="31">
        <f>Table_supermarket_sales___Sheet1[[#This Row],[Cost Price]]+Table57[[#This Row],[Markup Cost]]</f>
        <v>57.172499999999999</v>
      </c>
      <c r="E266" s="4">
        <v>1</v>
      </c>
      <c r="F266" s="20">
        <f>Table_supermarket_sales___Sheet13[[#This Row],[Selling Price]]-Table_supermarket_sales___Sheet13[[#This Row],[Cost Price]]</f>
        <v>2.7224999999999966</v>
      </c>
    </row>
    <row r="267" spans="1:6" x14ac:dyDescent="0.35">
      <c r="A267" s="3" t="s">
        <v>4</v>
      </c>
      <c r="B267" s="27">
        <v>98.4</v>
      </c>
      <c r="C267" s="1">
        <v>7</v>
      </c>
      <c r="D267" s="31">
        <f>Table_supermarket_sales___Sheet1[[#This Row],[Cost Price]]+Table57[[#This Row],[Markup Cost]]</f>
        <v>132.84</v>
      </c>
      <c r="E267" s="1">
        <v>7</v>
      </c>
      <c r="F267" s="20">
        <f>Table_supermarket_sales___Sheet13[[#This Row],[Selling Price]]-Table_supermarket_sales___Sheet13[[#This Row],[Cost Price]]</f>
        <v>34.44</v>
      </c>
    </row>
    <row r="268" spans="1:6" x14ac:dyDescent="0.35">
      <c r="A268" s="3" t="s">
        <v>3</v>
      </c>
      <c r="B268" s="27">
        <v>35.47</v>
      </c>
      <c r="C268" s="1">
        <v>4</v>
      </c>
      <c r="D268" s="31">
        <f>Table_supermarket_sales___Sheet1[[#This Row],[Cost Price]]+Table57[[#This Row],[Markup Cost]]</f>
        <v>42.564</v>
      </c>
      <c r="E268" s="4">
        <v>4</v>
      </c>
      <c r="F268" s="20">
        <f>Table_supermarket_sales___Sheet13[[#This Row],[Selling Price]]-Table_supermarket_sales___Sheet13[[#This Row],[Cost Price]]</f>
        <v>7.0940000000000012</v>
      </c>
    </row>
    <row r="269" spans="1:6" x14ac:dyDescent="0.35">
      <c r="A269" s="3" t="s">
        <v>5</v>
      </c>
      <c r="B269" s="27">
        <v>74.599999999999994</v>
      </c>
      <c r="C269" s="1">
        <v>10</v>
      </c>
      <c r="D269" s="31">
        <f>Table_supermarket_sales___Sheet1[[#This Row],[Cost Price]]+Table57[[#This Row],[Markup Cost]]</f>
        <v>111.89999999999999</v>
      </c>
      <c r="E269" s="1">
        <v>10</v>
      </c>
      <c r="F269" s="20">
        <f>Table_supermarket_sales___Sheet13[[#This Row],[Selling Price]]-Table_supermarket_sales___Sheet13[[#This Row],[Cost Price]]</f>
        <v>37.299999999999997</v>
      </c>
    </row>
    <row r="270" spans="1:6" x14ac:dyDescent="0.35">
      <c r="A270" s="3" t="s">
        <v>3</v>
      </c>
      <c r="B270" s="27">
        <v>70.739999999999995</v>
      </c>
      <c r="C270" s="1">
        <v>4</v>
      </c>
      <c r="D270" s="31">
        <f>Table_supermarket_sales___Sheet1[[#This Row],[Cost Price]]+Table57[[#This Row],[Markup Cost]]</f>
        <v>84.887999999999991</v>
      </c>
      <c r="E270" s="4">
        <v>4</v>
      </c>
      <c r="F270" s="20">
        <f>Table_supermarket_sales___Sheet13[[#This Row],[Selling Price]]-Table_supermarket_sales___Sheet13[[#This Row],[Cost Price]]</f>
        <v>14.147999999999996</v>
      </c>
    </row>
    <row r="271" spans="1:6" x14ac:dyDescent="0.35">
      <c r="A271" s="3" t="s">
        <v>3</v>
      </c>
      <c r="B271" s="27">
        <v>35.54</v>
      </c>
      <c r="C271" s="1">
        <v>10</v>
      </c>
      <c r="D271" s="31">
        <f>Table_supermarket_sales___Sheet1[[#This Row],[Cost Price]]+Table57[[#This Row],[Markup Cost]]</f>
        <v>53.31</v>
      </c>
      <c r="E271" s="1">
        <v>10</v>
      </c>
      <c r="F271" s="20">
        <f>Table_supermarket_sales___Sheet13[[#This Row],[Selling Price]]-Table_supermarket_sales___Sheet13[[#This Row],[Cost Price]]</f>
        <v>17.770000000000003</v>
      </c>
    </row>
    <row r="272" spans="1:6" x14ac:dyDescent="0.35">
      <c r="A272" s="3" t="s">
        <v>4</v>
      </c>
      <c r="B272" s="27">
        <v>67.430000000000007</v>
      </c>
      <c r="C272" s="1">
        <v>5</v>
      </c>
      <c r="D272" s="31">
        <f>Table_supermarket_sales___Sheet1[[#This Row],[Cost Price]]+Table57[[#This Row],[Markup Cost]]</f>
        <v>84.287500000000009</v>
      </c>
      <c r="E272" s="4">
        <v>5</v>
      </c>
      <c r="F272" s="20">
        <f>Table_supermarket_sales___Sheet13[[#This Row],[Selling Price]]-Table_supermarket_sales___Sheet13[[#This Row],[Cost Price]]</f>
        <v>16.857500000000002</v>
      </c>
    </row>
    <row r="273" spans="1:6" x14ac:dyDescent="0.35">
      <c r="A273" s="3" t="s">
        <v>1</v>
      </c>
      <c r="B273" s="27">
        <v>21.12</v>
      </c>
      <c r="C273" s="1">
        <v>2</v>
      </c>
      <c r="D273" s="31">
        <f>Table_supermarket_sales___Sheet1[[#This Row],[Cost Price]]+Table57[[#This Row],[Markup Cost]]</f>
        <v>23.231999999999999</v>
      </c>
      <c r="E273" s="1">
        <v>2</v>
      </c>
      <c r="F273" s="20">
        <f>Table_supermarket_sales___Sheet13[[#This Row],[Selling Price]]-Table_supermarket_sales___Sheet13[[#This Row],[Cost Price]]</f>
        <v>2.1119999999999983</v>
      </c>
    </row>
    <row r="274" spans="1:6" x14ac:dyDescent="0.35">
      <c r="A274" s="3" t="s">
        <v>3</v>
      </c>
      <c r="B274" s="27">
        <v>21.54</v>
      </c>
      <c r="C274" s="1">
        <v>9</v>
      </c>
      <c r="D274" s="31">
        <f>Table_supermarket_sales___Sheet1[[#This Row],[Cost Price]]+Table57[[#This Row],[Markup Cost]]</f>
        <v>31.232999999999997</v>
      </c>
      <c r="E274" s="4">
        <v>9</v>
      </c>
      <c r="F274" s="20">
        <f>Table_supermarket_sales___Sheet13[[#This Row],[Selling Price]]-Table_supermarket_sales___Sheet13[[#This Row],[Cost Price]]</f>
        <v>9.6929999999999978</v>
      </c>
    </row>
    <row r="275" spans="1:6" x14ac:dyDescent="0.35">
      <c r="A275" s="3" t="s">
        <v>3</v>
      </c>
      <c r="B275" s="27">
        <v>12.03</v>
      </c>
      <c r="C275" s="1">
        <v>2</v>
      </c>
      <c r="D275" s="31">
        <f>Table_supermarket_sales___Sheet1[[#This Row],[Cost Price]]+Table57[[#This Row],[Markup Cost]]</f>
        <v>13.232999999999999</v>
      </c>
      <c r="E275" s="1">
        <v>2</v>
      </c>
      <c r="F275" s="20">
        <f>Table_supermarket_sales___Sheet13[[#This Row],[Selling Price]]-Table_supermarket_sales___Sheet13[[#This Row],[Cost Price]]</f>
        <v>1.2029999999999994</v>
      </c>
    </row>
    <row r="276" spans="1:6" x14ac:dyDescent="0.35">
      <c r="A276" s="3" t="s">
        <v>1</v>
      </c>
      <c r="B276" s="27">
        <v>99.71</v>
      </c>
      <c r="C276" s="1">
        <v>6</v>
      </c>
      <c r="D276" s="31">
        <f>Table_supermarket_sales___Sheet1[[#This Row],[Cost Price]]+Table57[[#This Row],[Markup Cost]]</f>
        <v>129.62299999999999</v>
      </c>
      <c r="E276" s="4">
        <v>6</v>
      </c>
      <c r="F276" s="20">
        <f>Table_supermarket_sales___Sheet13[[#This Row],[Selling Price]]-Table_supermarket_sales___Sheet13[[#This Row],[Cost Price]]</f>
        <v>29.912999999999997</v>
      </c>
    </row>
    <row r="277" spans="1:6" x14ac:dyDescent="0.35">
      <c r="A277" s="3" t="s">
        <v>6</v>
      </c>
      <c r="B277" s="27">
        <v>47.97</v>
      </c>
      <c r="C277" s="1">
        <v>7</v>
      </c>
      <c r="D277" s="31">
        <f>Table_supermarket_sales___Sheet1[[#This Row],[Cost Price]]+Table57[[#This Row],[Markup Cost]]</f>
        <v>64.759500000000003</v>
      </c>
      <c r="E277" s="1">
        <v>7</v>
      </c>
      <c r="F277" s="20">
        <f>Table_supermarket_sales___Sheet13[[#This Row],[Selling Price]]-Table_supermarket_sales___Sheet13[[#This Row],[Cost Price]]</f>
        <v>16.789500000000004</v>
      </c>
    </row>
    <row r="278" spans="1:6" x14ac:dyDescent="0.35">
      <c r="A278" s="3" t="s">
        <v>3</v>
      </c>
      <c r="B278" s="27">
        <v>21.82</v>
      </c>
      <c r="C278" s="1">
        <v>10</v>
      </c>
      <c r="D278" s="31">
        <f>Table_supermarket_sales___Sheet1[[#This Row],[Cost Price]]+Table57[[#This Row],[Markup Cost]]</f>
        <v>32.730000000000004</v>
      </c>
      <c r="E278" s="4">
        <v>10</v>
      </c>
      <c r="F278" s="20">
        <f>Table_supermarket_sales___Sheet13[[#This Row],[Selling Price]]-Table_supermarket_sales___Sheet13[[#This Row],[Cost Price]]</f>
        <v>10.910000000000004</v>
      </c>
    </row>
    <row r="279" spans="1:6" x14ac:dyDescent="0.35">
      <c r="A279" s="3" t="s">
        <v>6</v>
      </c>
      <c r="B279" s="27">
        <v>95.42</v>
      </c>
      <c r="C279" s="1">
        <v>4</v>
      </c>
      <c r="D279" s="31">
        <f>Table_supermarket_sales___Sheet1[[#This Row],[Cost Price]]+Table57[[#This Row],[Markup Cost]]</f>
        <v>114.504</v>
      </c>
      <c r="E279" s="1">
        <v>4</v>
      </c>
      <c r="F279" s="20">
        <f>Table_supermarket_sales___Sheet13[[#This Row],[Selling Price]]-Table_supermarket_sales___Sheet13[[#This Row],[Cost Price]]</f>
        <v>19.084000000000003</v>
      </c>
    </row>
    <row r="280" spans="1:6" x14ac:dyDescent="0.35">
      <c r="A280" s="3" t="s">
        <v>6</v>
      </c>
      <c r="B280" s="27">
        <v>70.989999999999995</v>
      </c>
      <c r="C280" s="1">
        <v>10</v>
      </c>
      <c r="D280" s="31">
        <f>Table_supermarket_sales___Sheet1[[#This Row],[Cost Price]]+Table57[[#This Row],[Markup Cost]]</f>
        <v>106.48499999999999</v>
      </c>
      <c r="E280" s="4">
        <v>10</v>
      </c>
      <c r="F280" s="20">
        <f>Table_supermarket_sales___Sheet13[[#This Row],[Selling Price]]-Table_supermarket_sales___Sheet13[[#This Row],[Cost Price]]</f>
        <v>35.49499999999999</v>
      </c>
    </row>
    <row r="281" spans="1:6" x14ac:dyDescent="0.35">
      <c r="A281" s="3" t="s">
        <v>4</v>
      </c>
      <c r="B281" s="27">
        <v>44.02</v>
      </c>
      <c r="C281" s="1">
        <v>10</v>
      </c>
      <c r="D281" s="31">
        <f>Table_supermarket_sales___Sheet1[[#This Row],[Cost Price]]+Table57[[#This Row],[Markup Cost]]</f>
        <v>66.03</v>
      </c>
      <c r="E281" s="1">
        <v>10</v>
      </c>
      <c r="F281" s="20">
        <f>Table_supermarket_sales___Sheet13[[#This Row],[Selling Price]]-Table_supermarket_sales___Sheet13[[#This Row],[Cost Price]]</f>
        <v>22.009999999999998</v>
      </c>
    </row>
    <row r="282" spans="1:6" x14ac:dyDescent="0.35">
      <c r="A282" s="3" t="s">
        <v>3</v>
      </c>
      <c r="B282" s="27">
        <v>69.959999999999994</v>
      </c>
      <c r="C282" s="1">
        <v>8</v>
      </c>
      <c r="D282" s="31">
        <f>Table_supermarket_sales___Sheet1[[#This Row],[Cost Price]]+Table57[[#This Row],[Markup Cost]]</f>
        <v>97.943999999999988</v>
      </c>
      <c r="E282" s="4">
        <v>8</v>
      </c>
      <c r="F282" s="20">
        <f>Table_supermarket_sales___Sheet13[[#This Row],[Selling Price]]-Table_supermarket_sales___Sheet13[[#This Row],[Cost Price]]</f>
        <v>27.983999999999995</v>
      </c>
    </row>
    <row r="283" spans="1:6" x14ac:dyDescent="0.35">
      <c r="A283" s="3" t="s">
        <v>3</v>
      </c>
      <c r="B283" s="27">
        <v>37</v>
      </c>
      <c r="C283" s="1">
        <v>1</v>
      </c>
      <c r="D283" s="31">
        <f>Table_supermarket_sales___Sheet1[[#This Row],[Cost Price]]+Table57[[#This Row],[Markup Cost]]</f>
        <v>38.85</v>
      </c>
      <c r="E283" s="1">
        <v>1</v>
      </c>
      <c r="F283" s="20">
        <f>Table_supermarket_sales___Sheet13[[#This Row],[Selling Price]]-Table_supermarket_sales___Sheet13[[#This Row],[Cost Price]]</f>
        <v>1.8500000000000014</v>
      </c>
    </row>
    <row r="284" spans="1:6" x14ac:dyDescent="0.35">
      <c r="A284" s="3" t="s">
        <v>4</v>
      </c>
      <c r="B284" s="27">
        <v>15.34</v>
      </c>
      <c r="C284" s="1">
        <v>1</v>
      </c>
      <c r="D284" s="31">
        <f>Table_supermarket_sales___Sheet1[[#This Row],[Cost Price]]+Table57[[#This Row],[Markup Cost]]</f>
        <v>16.106999999999999</v>
      </c>
      <c r="E284" s="4">
        <v>1</v>
      </c>
      <c r="F284" s="20">
        <f>Table_supermarket_sales___Sheet13[[#This Row],[Selling Price]]-Table_supermarket_sales___Sheet13[[#This Row],[Cost Price]]</f>
        <v>0.76699999999999946</v>
      </c>
    </row>
    <row r="285" spans="1:6" x14ac:dyDescent="0.35">
      <c r="A285" s="3" t="s">
        <v>1</v>
      </c>
      <c r="B285" s="27">
        <v>99.83</v>
      </c>
      <c r="C285" s="1">
        <v>6</v>
      </c>
      <c r="D285" s="31">
        <f>Table_supermarket_sales___Sheet1[[#This Row],[Cost Price]]+Table57[[#This Row],[Markup Cost]]</f>
        <v>129.779</v>
      </c>
      <c r="E285" s="1">
        <v>6</v>
      </c>
      <c r="F285" s="20">
        <f>Table_supermarket_sales___Sheet13[[#This Row],[Selling Price]]-Table_supermarket_sales___Sheet13[[#This Row],[Cost Price]]</f>
        <v>29.948999999999998</v>
      </c>
    </row>
    <row r="286" spans="1:6" x14ac:dyDescent="0.35">
      <c r="A286" s="3" t="s">
        <v>1</v>
      </c>
      <c r="B286" s="27">
        <v>47.67</v>
      </c>
      <c r="C286" s="1">
        <v>4</v>
      </c>
      <c r="D286" s="31">
        <f>Table_supermarket_sales___Sheet1[[#This Row],[Cost Price]]+Table57[[#This Row],[Markup Cost]]</f>
        <v>57.204000000000001</v>
      </c>
      <c r="E286" s="4">
        <v>4</v>
      </c>
      <c r="F286" s="20">
        <f>Table_supermarket_sales___Sheet13[[#This Row],[Selling Price]]-Table_supermarket_sales___Sheet13[[#This Row],[Cost Price]]</f>
        <v>9.5339999999999989</v>
      </c>
    </row>
    <row r="287" spans="1:6" x14ac:dyDescent="0.35">
      <c r="A287" s="3" t="s">
        <v>1</v>
      </c>
      <c r="B287" s="27">
        <v>66.680000000000007</v>
      </c>
      <c r="C287" s="1">
        <v>5</v>
      </c>
      <c r="D287" s="31">
        <f>Table_supermarket_sales___Sheet1[[#This Row],[Cost Price]]+Table57[[#This Row],[Markup Cost]]</f>
        <v>83.350000000000009</v>
      </c>
      <c r="E287" s="1">
        <v>5</v>
      </c>
      <c r="F287" s="20">
        <f>Table_supermarket_sales___Sheet13[[#This Row],[Selling Price]]-Table_supermarket_sales___Sheet13[[#This Row],[Cost Price]]</f>
        <v>16.670000000000002</v>
      </c>
    </row>
    <row r="288" spans="1:6" x14ac:dyDescent="0.35">
      <c r="A288" s="3" t="s">
        <v>3</v>
      </c>
      <c r="B288" s="27">
        <v>74.86</v>
      </c>
      <c r="C288" s="1">
        <v>1</v>
      </c>
      <c r="D288" s="31">
        <f>Table_supermarket_sales___Sheet1[[#This Row],[Cost Price]]+Table57[[#This Row],[Markup Cost]]</f>
        <v>78.602999999999994</v>
      </c>
      <c r="E288" s="4">
        <v>1</v>
      </c>
      <c r="F288" s="20">
        <f>Table_supermarket_sales___Sheet13[[#This Row],[Selling Price]]-Table_supermarket_sales___Sheet13[[#This Row],[Cost Price]]</f>
        <v>3.742999999999995</v>
      </c>
    </row>
    <row r="289" spans="1:6" x14ac:dyDescent="0.35">
      <c r="A289" s="3" t="s">
        <v>4</v>
      </c>
      <c r="B289" s="27">
        <v>23.75</v>
      </c>
      <c r="C289" s="1">
        <v>9</v>
      </c>
      <c r="D289" s="31">
        <f>Table_supermarket_sales___Sheet1[[#This Row],[Cost Price]]+Table57[[#This Row],[Markup Cost]]</f>
        <v>34.4375</v>
      </c>
      <c r="E289" s="1">
        <v>9</v>
      </c>
      <c r="F289" s="20">
        <f>Table_supermarket_sales___Sheet13[[#This Row],[Selling Price]]-Table_supermarket_sales___Sheet13[[#This Row],[Cost Price]]</f>
        <v>10.6875</v>
      </c>
    </row>
    <row r="290" spans="1:6" x14ac:dyDescent="0.35">
      <c r="A290" s="3" t="s">
        <v>5</v>
      </c>
      <c r="B290" s="27">
        <v>48.51</v>
      </c>
      <c r="C290" s="1">
        <v>7</v>
      </c>
      <c r="D290" s="31">
        <f>Table_supermarket_sales___Sheet1[[#This Row],[Cost Price]]+Table57[[#This Row],[Markup Cost]]</f>
        <v>65.488500000000002</v>
      </c>
      <c r="E290" s="4">
        <v>7</v>
      </c>
      <c r="F290" s="20">
        <f>Table_supermarket_sales___Sheet13[[#This Row],[Selling Price]]-Table_supermarket_sales___Sheet13[[#This Row],[Cost Price]]</f>
        <v>16.978500000000004</v>
      </c>
    </row>
    <row r="291" spans="1:6" x14ac:dyDescent="0.35">
      <c r="A291" s="3" t="s">
        <v>3</v>
      </c>
      <c r="B291" s="27">
        <v>94.88</v>
      </c>
      <c r="C291" s="1">
        <v>7</v>
      </c>
      <c r="D291" s="31">
        <f>Table_supermarket_sales___Sheet1[[#This Row],[Cost Price]]+Table57[[#This Row],[Markup Cost]]</f>
        <v>128.08799999999999</v>
      </c>
      <c r="E291" s="1">
        <v>7</v>
      </c>
      <c r="F291" s="20">
        <f>Table_supermarket_sales___Sheet13[[#This Row],[Selling Price]]-Table_supermarket_sales___Sheet13[[#This Row],[Cost Price]]</f>
        <v>33.207999999999998</v>
      </c>
    </row>
    <row r="292" spans="1:6" x14ac:dyDescent="0.35">
      <c r="A292" s="3" t="s">
        <v>2</v>
      </c>
      <c r="B292" s="27">
        <v>40.299999999999997</v>
      </c>
      <c r="C292" s="1">
        <v>10</v>
      </c>
      <c r="D292" s="31">
        <f>Table_supermarket_sales___Sheet1[[#This Row],[Cost Price]]+Table57[[#This Row],[Markup Cost]]</f>
        <v>60.449999999999996</v>
      </c>
      <c r="E292" s="4">
        <v>10</v>
      </c>
      <c r="F292" s="20">
        <f>Table_supermarket_sales___Sheet13[[#This Row],[Selling Price]]-Table_supermarket_sales___Sheet13[[#This Row],[Cost Price]]</f>
        <v>20.149999999999999</v>
      </c>
    </row>
    <row r="293" spans="1:6" x14ac:dyDescent="0.35">
      <c r="A293" s="3" t="s">
        <v>2</v>
      </c>
      <c r="B293" s="27">
        <v>27.85</v>
      </c>
      <c r="C293" s="1">
        <v>7</v>
      </c>
      <c r="D293" s="31">
        <f>Table_supermarket_sales___Sheet1[[#This Row],[Cost Price]]+Table57[[#This Row],[Markup Cost]]</f>
        <v>37.597500000000004</v>
      </c>
      <c r="E293" s="1">
        <v>7</v>
      </c>
      <c r="F293" s="20">
        <f>Table_supermarket_sales___Sheet13[[#This Row],[Selling Price]]-Table_supermarket_sales___Sheet13[[#This Row],[Cost Price]]</f>
        <v>9.7475000000000023</v>
      </c>
    </row>
    <row r="294" spans="1:6" x14ac:dyDescent="0.35">
      <c r="A294" s="3" t="s">
        <v>2</v>
      </c>
      <c r="B294" s="27">
        <v>62.48</v>
      </c>
      <c r="C294" s="1">
        <v>1</v>
      </c>
      <c r="D294" s="31">
        <f>Table_supermarket_sales___Sheet1[[#This Row],[Cost Price]]+Table57[[#This Row],[Markup Cost]]</f>
        <v>65.603999999999999</v>
      </c>
      <c r="E294" s="4">
        <v>1</v>
      </c>
      <c r="F294" s="20">
        <f>Table_supermarket_sales___Sheet13[[#This Row],[Selling Price]]-Table_supermarket_sales___Sheet13[[#This Row],[Cost Price]]</f>
        <v>3.1240000000000023</v>
      </c>
    </row>
    <row r="295" spans="1:6" x14ac:dyDescent="0.35">
      <c r="A295" s="3" t="s">
        <v>5</v>
      </c>
      <c r="B295" s="27">
        <v>36.36</v>
      </c>
      <c r="C295" s="1">
        <v>2</v>
      </c>
      <c r="D295" s="31">
        <f>Table_supermarket_sales___Sheet1[[#This Row],[Cost Price]]+Table57[[#This Row],[Markup Cost]]</f>
        <v>39.996000000000002</v>
      </c>
      <c r="E295" s="1">
        <v>2</v>
      </c>
      <c r="F295" s="20">
        <f>Table_supermarket_sales___Sheet13[[#This Row],[Selling Price]]-Table_supermarket_sales___Sheet13[[#This Row],[Cost Price]]</f>
        <v>3.6360000000000028</v>
      </c>
    </row>
    <row r="296" spans="1:6" x14ac:dyDescent="0.35">
      <c r="A296" s="3" t="s">
        <v>1</v>
      </c>
      <c r="B296" s="27">
        <v>18.11</v>
      </c>
      <c r="C296" s="1">
        <v>10</v>
      </c>
      <c r="D296" s="31">
        <f>Table_supermarket_sales___Sheet1[[#This Row],[Cost Price]]+Table57[[#This Row],[Markup Cost]]</f>
        <v>27.164999999999999</v>
      </c>
      <c r="E296" s="4">
        <v>10</v>
      </c>
      <c r="F296" s="20">
        <f>Table_supermarket_sales___Sheet13[[#This Row],[Selling Price]]-Table_supermarket_sales___Sheet13[[#This Row],[Cost Price]]</f>
        <v>9.0549999999999997</v>
      </c>
    </row>
    <row r="297" spans="1:6" x14ac:dyDescent="0.35">
      <c r="A297" s="3" t="s">
        <v>2</v>
      </c>
      <c r="B297" s="27">
        <v>51.92</v>
      </c>
      <c r="C297" s="1">
        <v>5</v>
      </c>
      <c r="D297" s="31">
        <f>Table_supermarket_sales___Sheet1[[#This Row],[Cost Price]]+Table57[[#This Row],[Markup Cost]]</f>
        <v>64.900000000000006</v>
      </c>
      <c r="E297" s="1">
        <v>5</v>
      </c>
      <c r="F297" s="20">
        <f>Table_supermarket_sales___Sheet13[[#This Row],[Selling Price]]-Table_supermarket_sales___Sheet13[[#This Row],[Cost Price]]</f>
        <v>12.980000000000004</v>
      </c>
    </row>
    <row r="298" spans="1:6" x14ac:dyDescent="0.35">
      <c r="A298" s="3" t="s">
        <v>2</v>
      </c>
      <c r="B298" s="27">
        <v>28.84</v>
      </c>
      <c r="C298" s="1">
        <v>4</v>
      </c>
      <c r="D298" s="31">
        <f>Table_supermarket_sales___Sheet1[[#This Row],[Cost Price]]+Table57[[#This Row],[Markup Cost]]</f>
        <v>34.607999999999997</v>
      </c>
      <c r="E298" s="4">
        <v>4</v>
      </c>
      <c r="F298" s="20">
        <f>Table_supermarket_sales___Sheet13[[#This Row],[Selling Price]]-Table_supermarket_sales___Sheet13[[#This Row],[Cost Price]]</f>
        <v>5.7679999999999971</v>
      </c>
    </row>
    <row r="299" spans="1:6" x14ac:dyDescent="0.35">
      <c r="A299" s="3" t="s">
        <v>3</v>
      </c>
      <c r="B299" s="27">
        <v>78.38</v>
      </c>
      <c r="C299" s="1">
        <v>6</v>
      </c>
      <c r="D299" s="31">
        <f>Table_supermarket_sales___Sheet1[[#This Row],[Cost Price]]+Table57[[#This Row],[Markup Cost]]</f>
        <v>101.89399999999999</v>
      </c>
      <c r="E299" s="1">
        <v>6</v>
      </c>
      <c r="F299" s="20">
        <f>Table_supermarket_sales___Sheet13[[#This Row],[Selling Price]]-Table_supermarket_sales___Sheet13[[#This Row],[Cost Price]]</f>
        <v>23.513999999999996</v>
      </c>
    </row>
    <row r="300" spans="1:6" x14ac:dyDescent="0.35">
      <c r="A300" s="3" t="s">
        <v>3</v>
      </c>
      <c r="B300" s="27">
        <v>60.01</v>
      </c>
      <c r="C300" s="1">
        <v>4</v>
      </c>
      <c r="D300" s="31">
        <f>Table_supermarket_sales___Sheet1[[#This Row],[Cost Price]]+Table57[[#This Row],[Markup Cost]]</f>
        <v>72.012</v>
      </c>
      <c r="E300" s="4">
        <v>4</v>
      </c>
      <c r="F300" s="20">
        <f>Table_supermarket_sales___Sheet13[[#This Row],[Selling Price]]-Table_supermarket_sales___Sheet13[[#This Row],[Cost Price]]</f>
        <v>12.002000000000002</v>
      </c>
    </row>
    <row r="301" spans="1:6" x14ac:dyDescent="0.35">
      <c r="A301" s="3" t="s">
        <v>3</v>
      </c>
      <c r="B301" s="27">
        <v>88.61</v>
      </c>
      <c r="C301" s="1">
        <v>1</v>
      </c>
      <c r="D301" s="31">
        <f>Table_supermarket_sales___Sheet1[[#This Row],[Cost Price]]+Table57[[#This Row],[Markup Cost]]</f>
        <v>93.040499999999994</v>
      </c>
      <c r="E301" s="1">
        <v>1</v>
      </c>
      <c r="F301" s="20">
        <f>Table_supermarket_sales___Sheet13[[#This Row],[Selling Price]]-Table_supermarket_sales___Sheet13[[#This Row],[Cost Price]]</f>
        <v>4.430499999999995</v>
      </c>
    </row>
    <row r="302" spans="1:6" x14ac:dyDescent="0.35">
      <c r="A302" s="3" t="s">
        <v>6</v>
      </c>
      <c r="B302" s="27">
        <v>99.82</v>
      </c>
      <c r="C302" s="1">
        <v>2</v>
      </c>
      <c r="D302" s="31">
        <f>Table_supermarket_sales___Sheet1[[#This Row],[Cost Price]]+Table57[[#This Row],[Markup Cost]]</f>
        <v>109.80199999999999</v>
      </c>
      <c r="E302" s="4">
        <v>2</v>
      </c>
      <c r="F302" s="20">
        <f>Table_supermarket_sales___Sheet13[[#This Row],[Selling Price]]-Table_supermarket_sales___Sheet13[[#This Row],[Cost Price]]</f>
        <v>9.9819999999999993</v>
      </c>
    </row>
    <row r="303" spans="1:6" x14ac:dyDescent="0.35">
      <c r="A303" s="3" t="s">
        <v>1</v>
      </c>
      <c r="B303" s="27">
        <v>39.01</v>
      </c>
      <c r="C303" s="1">
        <v>1</v>
      </c>
      <c r="D303" s="31">
        <f>Table_supermarket_sales___Sheet1[[#This Row],[Cost Price]]+Table57[[#This Row],[Markup Cost]]</f>
        <v>40.960499999999996</v>
      </c>
      <c r="E303" s="1">
        <v>1</v>
      </c>
      <c r="F303" s="20">
        <f>Table_supermarket_sales___Sheet13[[#This Row],[Selling Price]]-Table_supermarket_sales___Sheet13[[#This Row],[Cost Price]]</f>
        <v>1.9504999999999981</v>
      </c>
    </row>
    <row r="304" spans="1:6" x14ac:dyDescent="0.35">
      <c r="A304" s="3" t="s">
        <v>5</v>
      </c>
      <c r="B304" s="27">
        <v>48.61</v>
      </c>
      <c r="C304" s="1">
        <v>1</v>
      </c>
      <c r="D304" s="31">
        <f>Table_supermarket_sales___Sheet1[[#This Row],[Cost Price]]+Table57[[#This Row],[Markup Cost]]</f>
        <v>51.040500000000002</v>
      </c>
      <c r="E304" s="4">
        <v>1</v>
      </c>
      <c r="F304" s="20">
        <f>Table_supermarket_sales___Sheet13[[#This Row],[Selling Price]]-Table_supermarket_sales___Sheet13[[#This Row],[Cost Price]]</f>
        <v>2.4305000000000021</v>
      </c>
    </row>
    <row r="305" spans="1:6" x14ac:dyDescent="0.35">
      <c r="A305" s="3" t="s">
        <v>2</v>
      </c>
      <c r="B305" s="27">
        <v>51.19</v>
      </c>
      <c r="C305" s="1">
        <v>4</v>
      </c>
      <c r="D305" s="31">
        <f>Table_supermarket_sales___Sheet1[[#This Row],[Cost Price]]+Table57[[#This Row],[Markup Cost]]</f>
        <v>61.427999999999997</v>
      </c>
      <c r="E305" s="1">
        <v>4</v>
      </c>
      <c r="F305" s="20">
        <f>Table_supermarket_sales___Sheet13[[#This Row],[Selling Price]]-Table_supermarket_sales___Sheet13[[#This Row],[Cost Price]]</f>
        <v>10.238</v>
      </c>
    </row>
    <row r="306" spans="1:6" x14ac:dyDescent="0.35">
      <c r="A306" s="3" t="s">
        <v>2</v>
      </c>
      <c r="B306" s="27">
        <v>14.96</v>
      </c>
      <c r="C306" s="1">
        <v>8</v>
      </c>
      <c r="D306" s="31">
        <f>Table_supermarket_sales___Sheet1[[#This Row],[Cost Price]]+Table57[[#This Row],[Markup Cost]]</f>
        <v>20.944000000000003</v>
      </c>
      <c r="E306" s="4">
        <v>8</v>
      </c>
      <c r="F306" s="20">
        <f>Table_supermarket_sales___Sheet13[[#This Row],[Selling Price]]-Table_supermarket_sales___Sheet13[[#This Row],[Cost Price]]</f>
        <v>5.9840000000000018</v>
      </c>
    </row>
    <row r="307" spans="1:6" x14ac:dyDescent="0.35">
      <c r="A307" s="3" t="s">
        <v>2</v>
      </c>
      <c r="B307" s="27">
        <v>72.2</v>
      </c>
      <c r="C307" s="1">
        <v>7</v>
      </c>
      <c r="D307" s="31">
        <f>Table_supermarket_sales___Sheet1[[#This Row],[Cost Price]]+Table57[[#This Row],[Markup Cost]]</f>
        <v>97.47</v>
      </c>
      <c r="E307" s="1">
        <v>7</v>
      </c>
      <c r="F307" s="20">
        <f>Table_supermarket_sales___Sheet13[[#This Row],[Selling Price]]-Table_supermarket_sales___Sheet13[[#This Row],[Cost Price]]</f>
        <v>25.269999999999996</v>
      </c>
    </row>
    <row r="308" spans="1:6" x14ac:dyDescent="0.35">
      <c r="A308" s="3" t="s">
        <v>4</v>
      </c>
      <c r="B308" s="27">
        <v>40.229999999999997</v>
      </c>
      <c r="C308" s="1">
        <v>7</v>
      </c>
      <c r="D308" s="31">
        <f>Table_supermarket_sales___Sheet1[[#This Row],[Cost Price]]+Table57[[#This Row],[Markup Cost]]</f>
        <v>54.310499999999998</v>
      </c>
      <c r="E308" s="4">
        <v>7</v>
      </c>
      <c r="F308" s="20">
        <f>Table_supermarket_sales___Sheet13[[#This Row],[Selling Price]]-Table_supermarket_sales___Sheet13[[#This Row],[Cost Price]]</f>
        <v>14.080500000000001</v>
      </c>
    </row>
    <row r="309" spans="1:6" x14ac:dyDescent="0.35">
      <c r="A309" s="3" t="s">
        <v>3</v>
      </c>
      <c r="B309" s="27">
        <v>88.79</v>
      </c>
      <c r="C309" s="1">
        <v>8</v>
      </c>
      <c r="D309" s="31">
        <f>Table_supermarket_sales___Sheet1[[#This Row],[Cost Price]]+Table57[[#This Row],[Markup Cost]]</f>
        <v>124.30600000000001</v>
      </c>
      <c r="E309" s="1">
        <v>8</v>
      </c>
      <c r="F309" s="20">
        <f>Table_supermarket_sales___Sheet13[[#This Row],[Selling Price]]-Table_supermarket_sales___Sheet13[[#This Row],[Cost Price]]</f>
        <v>35.516000000000005</v>
      </c>
    </row>
    <row r="310" spans="1:6" x14ac:dyDescent="0.35">
      <c r="A310" s="3" t="s">
        <v>2</v>
      </c>
      <c r="B310" s="27">
        <v>26.48</v>
      </c>
      <c r="C310" s="1">
        <v>3</v>
      </c>
      <c r="D310" s="31">
        <f>Table_supermarket_sales___Sheet1[[#This Row],[Cost Price]]+Table57[[#This Row],[Markup Cost]]</f>
        <v>30.452000000000002</v>
      </c>
      <c r="E310" s="4">
        <v>3</v>
      </c>
      <c r="F310" s="20">
        <f>Table_supermarket_sales___Sheet13[[#This Row],[Selling Price]]-Table_supermarket_sales___Sheet13[[#This Row],[Cost Price]]</f>
        <v>3.9720000000000013</v>
      </c>
    </row>
    <row r="311" spans="1:6" x14ac:dyDescent="0.35">
      <c r="A311" s="3" t="s">
        <v>6</v>
      </c>
      <c r="B311" s="27">
        <v>81.91</v>
      </c>
      <c r="C311" s="1">
        <v>2</v>
      </c>
      <c r="D311" s="31">
        <f>Table_supermarket_sales___Sheet1[[#This Row],[Cost Price]]+Table57[[#This Row],[Markup Cost]]</f>
        <v>90.100999999999999</v>
      </c>
      <c r="E311" s="1">
        <v>2</v>
      </c>
      <c r="F311" s="20">
        <f>Table_supermarket_sales___Sheet13[[#This Row],[Selling Price]]-Table_supermarket_sales___Sheet13[[#This Row],[Cost Price]]</f>
        <v>8.1910000000000025</v>
      </c>
    </row>
    <row r="312" spans="1:6" x14ac:dyDescent="0.35">
      <c r="A312" s="3" t="s">
        <v>4</v>
      </c>
      <c r="B312" s="27">
        <v>79.930000000000007</v>
      </c>
      <c r="C312" s="1">
        <v>6</v>
      </c>
      <c r="D312" s="31">
        <f>Table_supermarket_sales___Sheet1[[#This Row],[Cost Price]]+Table57[[#This Row],[Markup Cost]]</f>
        <v>103.90900000000001</v>
      </c>
      <c r="E312" s="4">
        <v>6</v>
      </c>
      <c r="F312" s="20">
        <f>Table_supermarket_sales___Sheet13[[#This Row],[Selling Price]]-Table_supermarket_sales___Sheet13[[#This Row],[Cost Price]]</f>
        <v>23.978999999999999</v>
      </c>
    </row>
    <row r="313" spans="1:6" x14ac:dyDescent="0.35">
      <c r="A313" s="3" t="s">
        <v>6</v>
      </c>
      <c r="B313" s="27">
        <v>69.33</v>
      </c>
      <c r="C313" s="1">
        <v>2</v>
      </c>
      <c r="D313" s="31">
        <f>Table_supermarket_sales___Sheet1[[#This Row],[Cost Price]]+Table57[[#This Row],[Markup Cost]]</f>
        <v>76.263000000000005</v>
      </c>
      <c r="E313" s="1">
        <v>2</v>
      </c>
      <c r="F313" s="20">
        <f>Table_supermarket_sales___Sheet13[[#This Row],[Selling Price]]-Table_supermarket_sales___Sheet13[[#This Row],[Cost Price]]</f>
        <v>6.9330000000000069</v>
      </c>
    </row>
    <row r="314" spans="1:6" x14ac:dyDescent="0.35">
      <c r="A314" s="3" t="s">
        <v>5</v>
      </c>
      <c r="B314" s="27">
        <v>14.23</v>
      </c>
      <c r="C314" s="1">
        <v>5</v>
      </c>
      <c r="D314" s="31">
        <f>Table_supermarket_sales___Sheet1[[#This Row],[Cost Price]]+Table57[[#This Row],[Markup Cost]]</f>
        <v>17.787500000000001</v>
      </c>
      <c r="E314" s="4">
        <v>5</v>
      </c>
      <c r="F314" s="20">
        <f>Table_supermarket_sales___Sheet13[[#This Row],[Selling Price]]-Table_supermarket_sales___Sheet13[[#This Row],[Cost Price]]</f>
        <v>3.557500000000001</v>
      </c>
    </row>
    <row r="315" spans="1:6" x14ac:dyDescent="0.35">
      <c r="A315" s="3" t="s">
        <v>1</v>
      </c>
      <c r="B315" s="27">
        <v>15.55</v>
      </c>
      <c r="C315" s="1">
        <v>9</v>
      </c>
      <c r="D315" s="31">
        <f>Table_supermarket_sales___Sheet1[[#This Row],[Cost Price]]+Table57[[#This Row],[Markup Cost]]</f>
        <v>22.547499999999999</v>
      </c>
      <c r="E315" s="1">
        <v>9</v>
      </c>
      <c r="F315" s="20">
        <f>Table_supermarket_sales___Sheet13[[#This Row],[Selling Price]]-Table_supermarket_sales___Sheet13[[#This Row],[Cost Price]]</f>
        <v>6.9974999999999987</v>
      </c>
    </row>
    <row r="316" spans="1:6" x14ac:dyDescent="0.35">
      <c r="A316" s="3" t="s">
        <v>2</v>
      </c>
      <c r="B316" s="27">
        <v>78.13</v>
      </c>
      <c r="C316" s="1">
        <v>10</v>
      </c>
      <c r="D316" s="31">
        <f>Table_supermarket_sales___Sheet1[[#This Row],[Cost Price]]+Table57[[#This Row],[Markup Cost]]</f>
        <v>117.19499999999999</v>
      </c>
      <c r="E316" s="4">
        <v>10</v>
      </c>
      <c r="F316" s="20">
        <f>Table_supermarket_sales___Sheet13[[#This Row],[Selling Price]]-Table_supermarket_sales___Sheet13[[#This Row],[Cost Price]]</f>
        <v>39.064999999999998</v>
      </c>
    </row>
    <row r="317" spans="1:6" x14ac:dyDescent="0.35">
      <c r="A317" s="3" t="s">
        <v>5</v>
      </c>
      <c r="B317" s="27">
        <v>99.37</v>
      </c>
      <c r="C317" s="1">
        <v>2</v>
      </c>
      <c r="D317" s="31">
        <f>Table_supermarket_sales___Sheet1[[#This Row],[Cost Price]]+Table57[[#This Row],[Markup Cost]]</f>
        <v>109.307</v>
      </c>
      <c r="E317" s="1">
        <v>2</v>
      </c>
      <c r="F317" s="20">
        <f>Table_supermarket_sales___Sheet13[[#This Row],[Selling Price]]-Table_supermarket_sales___Sheet13[[#This Row],[Cost Price]]</f>
        <v>9.9369999999999976</v>
      </c>
    </row>
    <row r="318" spans="1:6" x14ac:dyDescent="0.35">
      <c r="A318" s="3" t="s">
        <v>5</v>
      </c>
      <c r="B318" s="27">
        <v>21.08</v>
      </c>
      <c r="C318" s="1">
        <v>3</v>
      </c>
      <c r="D318" s="31">
        <f>Table_supermarket_sales___Sheet1[[#This Row],[Cost Price]]+Table57[[#This Row],[Markup Cost]]</f>
        <v>24.241999999999997</v>
      </c>
      <c r="E318" s="4">
        <v>3</v>
      </c>
      <c r="F318" s="20">
        <f>Table_supermarket_sales___Sheet13[[#This Row],[Selling Price]]-Table_supermarket_sales___Sheet13[[#This Row],[Cost Price]]</f>
        <v>3.161999999999999</v>
      </c>
    </row>
    <row r="319" spans="1:6" x14ac:dyDescent="0.35">
      <c r="A319" s="3" t="s">
        <v>2</v>
      </c>
      <c r="B319" s="27">
        <v>74.790000000000006</v>
      </c>
      <c r="C319" s="1">
        <v>5</v>
      </c>
      <c r="D319" s="31">
        <f>Table_supermarket_sales___Sheet1[[#This Row],[Cost Price]]+Table57[[#This Row],[Markup Cost]]</f>
        <v>93.487500000000011</v>
      </c>
      <c r="E319" s="1">
        <v>5</v>
      </c>
      <c r="F319" s="20">
        <f>Table_supermarket_sales___Sheet13[[#This Row],[Selling Price]]-Table_supermarket_sales___Sheet13[[#This Row],[Cost Price]]</f>
        <v>18.697500000000005</v>
      </c>
    </row>
    <row r="320" spans="1:6" x14ac:dyDescent="0.35">
      <c r="A320" s="3" t="s">
        <v>1</v>
      </c>
      <c r="B320" s="27">
        <v>29.67</v>
      </c>
      <c r="C320" s="1">
        <v>7</v>
      </c>
      <c r="D320" s="31">
        <f>Table_supermarket_sales___Sheet1[[#This Row],[Cost Price]]+Table57[[#This Row],[Markup Cost]]</f>
        <v>40.054500000000004</v>
      </c>
      <c r="E320" s="4">
        <v>7</v>
      </c>
      <c r="F320" s="20">
        <f>Table_supermarket_sales___Sheet13[[#This Row],[Selling Price]]-Table_supermarket_sales___Sheet13[[#This Row],[Cost Price]]</f>
        <v>10.384500000000003</v>
      </c>
    </row>
    <row r="321" spans="1:6" x14ac:dyDescent="0.35">
      <c r="A321" s="3" t="s">
        <v>1</v>
      </c>
      <c r="B321" s="27">
        <v>44.07</v>
      </c>
      <c r="C321" s="1">
        <v>4</v>
      </c>
      <c r="D321" s="31">
        <f>Table_supermarket_sales___Sheet1[[#This Row],[Cost Price]]+Table57[[#This Row],[Markup Cost]]</f>
        <v>52.884</v>
      </c>
      <c r="E321" s="1">
        <v>4</v>
      </c>
      <c r="F321" s="20">
        <f>Table_supermarket_sales___Sheet13[[#This Row],[Selling Price]]-Table_supermarket_sales___Sheet13[[#This Row],[Cost Price]]</f>
        <v>8.8140000000000001</v>
      </c>
    </row>
    <row r="322" spans="1:6" x14ac:dyDescent="0.35">
      <c r="A322" s="3" t="s">
        <v>5</v>
      </c>
      <c r="B322" s="27">
        <v>22.93</v>
      </c>
      <c r="C322" s="1">
        <v>9</v>
      </c>
      <c r="D322" s="31">
        <f>Table_supermarket_sales___Sheet1[[#This Row],[Cost Price]]+Table57[[#This Row],[Markup Cost]]</f>
        <v>33.2485</v>
      </c>
      <c r="E322" s="4">
        <v>9</v>
      </c>
      <c r="F322" s="20">
        <f>Table_supermarket_sales___Sheet13[[#This Row],[Selling Price]]-Table_supermarket_sales___Sheet13[[#This Row],[Cost Price]]</f>
        <v>10.3185</v>
      </c>
    </row>
    <row r="323" spans="1:6" x14ac:dyDescent="0.35">
      <c r="A323" s="3" t="s">
        <v>1</v>
      </c>
      <c r="B323" s="27">
        <v>39.42</v>
      </c>
      <c r="C323" s="1">
        <v>1</v>
      </c>
      <c r="D323" s="31">
        <f>Table_supermarket_sales___Sheet1[[#This Row],[Cost Price]]+Table57[[#This Row],[Markup Cost]]</f>
        <v>41.391000000000005</v>
      </c>
      <c r="E323" s="1">
        <v>1</v>
      </c>
      <c r="F323" s="20">
        <f>Table_supermarket_sales___Sheet13[[#This Row],[Selling Price]]-Table_supermarket_sales___Sheet13[[#This Row],[Cost Price]]</f>
        <v>1.9710000000000036</v>
      </c>
    </row>
    <row r="324" spans="1:6" x14ac:dyDescent="0.35">
      <c r="A324" s="3" t="s">
        <v>1</v>
      </c>
      <c r="B324" s="27">
        <v>15.26</v>
      </c>
      <c r="C324" s="1">
        <v>6</v>
      </c>
      <c r="D324" s="31">
        <f>Table_supermarket_sales___Sheet1[[#This Row],[Cost Price]]+Table57[[#This Row],[Markup Cost]]</f>
        <v>19.838000000000001</v>
      </c>
      <c r="E324" s="4">
        <v>6</v>
      </c>
      <c r="F324" s="20">
        <f>Table_supermarket_sales___Sheet13[[#This Row],[Selling Price]]-Table_supermarket_sales___Sheet13[[#This Row],[Cost Price]]</f>
        <v>4.5780000000000012</v>
      </c>
    </row>
    <row r="325" spans="1:6" x14ac:dyDescent="0.35">
      <c r="A325" s="3" t="s">
        <v>6</v>
      </c>
      <c r="B325" s="27">
        <v>61.77</v>
      </c>
      <c r="C325" s="1">
        <v>5</v>
      </c>
      <c r="D325" s="31">
        <f>Table_supermarket_sales___Sheet1[[#This Row],[Cost Price]]+Table57[[#This Row],[Markup Cost]]</f>
        <v>77.212500000000006</v>
      </c>
      <c r="E325" s="1">
        <v>5</v>
      </c>
      <c r="F325" s="20">
        <f>Table_supermarket_sales___Sheet13[[#This Row],[Selling Price]]-Table_supermarket_sales___Sheet13[[#This Row],[Cost Price]]</f>
        <v>15.442500000000003</v>
      </c>
    </row>
    <row r="326" spans="1:6" x14ac:dyDescent="0.35">
      <c r="A326" s="3" t="s">
        <v>3</v>
      </c>
      <c r="B326" s="27">
        <v>21.52</v>
      </c>
      <c r="C326" s="1">
        <v>6</v>
      </c>
      <c r="D326" s="31">
        <f>Table_supermarket_sales___Sheet1[[#This Row],[Cost Price]]+Table57[[#This Row],[Markup Cost]]</f>
        <v>27.975999999999999</v>
      </c>
      <c r="E326" s="4">
        <v>6</v>
      </c>
      <c r="F326" s="20">
        <f>Table_supermarket_sales___Sheet13[[#This Row],[Selling Price]]-Table_supermarket_sales___Sheet13[[#This Row],[Cost Price]]</f>
        <v>6.4559999999999995</v>
      </c>
    </row>
    <row r="327" spans="1:6" x14ac:dyDescent="0.35">
      <c r="A327" s="3" t="s">
        <v>4</v>
      </c>
      <c r="B327" s="27">
        <v>97.74</v>
      </c>
      <c r="C327" s="1">
        <v>4</v>
      </c>
      <c r="D327" s="31">
        <f>Table_supermarket_sales___Sheet1[[#This Row],[Cost Price]]+Table57[[#This Row],[Markup Cost]]</f>
        <v>117.288</v>
      </c>
      <c r="E327" s="1">
        <v>4</v>
      </c>
      <c r="F327" s="20">
        <f>Table_supermarket_sales___Sheet13[[#This Row],[Selling Price]]-Table_supermarket_sales___Sheet13[[#This Row],[Cost Price]]</f>
        <v>19.548000000000002</v>
      </c>
    </row>
    <row r="328" spans="1:6" x14ac:dyDescent="0.35">
      <c r="A328" s="3" t="s">
        <v>5</v>
      </c>
      <c r="B328" s="27">
        <v>99.78</v>
      </c>
      <c r="C328" s="1">
        <v>5</v>
      </c>
      <c r="D328" s="31">
        <f>Table_supermarket_sales___Sheet1[[#This Row],[Cost Price]]+Table57[[#This Row],[Markup Cost]]</f>
        <v>124.72499999999999</v>
      </c>
      <c r="E328" s="4">
        <v>5</v>
      </c>
      <c r="F328" s="20">
        <f>Table_supermarket_sales___Sheet13[[#This Row],[Selling Price]]-Table_supermarket_sales___Sheet13[[#This Row],[Cost Price]]</f>
        <v>24.944999999999993</v>
      </c>
    </row>
    <row r="329" spans="1:6" x14ac:dyDescent="0.35">
      <c r="A329" s="3" t="s">
        <v>5</v>
      </c>
      <c r="B329" s="27">
        <v>94.26</v>
      </c>
      <c r="C329" s="1">
        <v>4</v>
      </c>
      <c r="D329" s="31">
        <f>Table_supermarket_sales___Sheet1[[#This Row],[Cost Price]]+Table57[[#This Row],[Markup Cost]]</f>
        <v>113.11200000000001</v>
      </c>
      <c r="E329" s="1">
        <v>4</v>
      </c>
      <c r="F329" s="20">
        <f>Table_supermarket_sales___Sheet13[[#This Row],[Selling Price]]-Table_supermarket_sales___Sheet13[[#This Row],[Cost Price]]</f>
        <v>18.852000000000004</v>
      </c>
    </row>
    <row r="330" spans="1:6" x14ac:dyDescent="0.35">
      <c r="A330" s="3" t="s">
        <v>1</v>
      </c>
      <c r="B330" s="27">
        <v>51.13</v>
      </c>
      <c r="C330" s="1">
        <v>4</v>
      </c>
      <c r="D330" s="31">
        <f>Table_supermarket_sales___Sheet1[[#This Row],[Cost Price]]+Table57[[#This Row],[Markup Cost]]</f>
        <v>61.356000000000002</v>
      </c>
      <c r="E330" s="4">
        <v>4</v>
      </c>
      <c r="F330" s="20">
        <f>Table_supermarket_sales___Sheet13[[#This Row],[Selling Price]]-Table_supermarket_sales___Sheet13[[#This Row],[Cost Price]]</f>
        <v>10.225999999999999</v>
      </c>
    </row>
    <row r="331" spans="1:6" x14ac:dyDescent="0.35">
      <c r="A331" s="3" t="s">
        <v>2</v>
      </c>
      <c r="B331" s="27">
        <v>36.36</v>
      </c>
      <c r="C331" s="1">
        <v>4</v>
      </c>
      <c r="D331" s="31">
        <f>Table_supermarket_sales___Sheet1[[#This Row],[Cost Price]]+Table57[[#This Row],[Markup Cost]]</f>
        <v>43.631999999999998</v>
      </c>
      <c r="E331" s="1">
        <v>4</v>
      </c>
      <c r="F331" s="20">
        <f>Table_supermarket_sales___Sheet13[[#This Row],[Selling Price]]-Table_supermarket_sales___Sheet13[[#This Row],[Cost Price]]</f>
        <v>7.2719999999999985</v>
      </c>
    </row>
    <row r="332" spans="1:6" x14ac:dyDescent="0.35">
      <c r="A332" s="3" t="s">
        <v>3</v>
      </c>
      <c r="B332" s="27">
        <v>22.02</v>
      </c>
      <c r="C332" s="1">
        <v>9</v>
      </c>
      <c r="D332" s="31">
        <f>Table_supermarket_sales___Sheet1[[#This Row],[Cost Price]]+Table57[[#This Row],[Markup Cost]]</f>
        <v>31.929000000000002</v>
      </c>
      <c r="E332" s="4">
        <v>9</v>
      </c>
      <c r="F332" s="20">
        <f>Table_supermarket_sales___Sheet13[[#This Row],[Selling Price]]-Table_supermarket_sales___Sheet13[[#This Row],[Cost Price]]</f>
        <v>9.9090000000000025</v>
      </c>
    </row>
    <row r="333" spans="1:6" x14ac:dyDescent="0.35">
      <c r="A333" s="3" t="s">
        <v>5</v>
      </c>
      <c r="B333" s="27">
        <v>32.9</v>
      </c>
      <c r="C333" s="1">
        <v>3</v>
      </c>
      <c r="D333" s="31">
        <f>Table_supermarket_sales___Sheet1[[#This Row],[Cost Price]]+Table57[[#This Row],[Markup Cost]]</f>
        <v>37.835000000000001</v>
      </c>
      <c r="E333" s="1">
        <v>3</v>
      </c>
      <c r="F333" s="20">
        <f>Table_supermarket_sales___Sheet13[[#This Row],[Selling Price]]-Table_supermarket_sales___Sheet13[[#This Row],[Cost Price]]</f>
        <v>4.9350000000000023</v>
      </c>
    </row>
    <row r="334" spans="1:6" x14ac:dyDescent="0.35">
      <c r="A334" s="3" t="s">
        <v>6</v>
      </c>
      <c r="B334" s="27">
        <v>77.02</v>
      </c>
      <c r="C334" s="1">
        <v>5</v>
      </c>
      <c r="D334" s="31">
        <f>Table_supermarket_sales___Sheet1[[#This Row],[Cost Price]]+Table57[[#This Row],[Markup Cost]]</f>
        <v>96.274999999999991</v>
      </c>
      <c r="E334" s="4">
        <v>5</v>
      </c>
      <c r="F334" s="20">
        <f>Table_supermarket_sales___Sheet13[[#This Row],[Selling Price]]-Table_supermarket_sales___Sheet13[[#This Row],[Cost Price]]</f>
        <v>19.254999999999995</v>
      </c>
    </row>
    <row r="335" spans="1:6" x14ac:dyDescent="0.35">
      <c r="A335" s="3" t="s">
        <v>5</v>
      </c>
      <c r="B335" s="27">
        <v>23.48</v>
      </c>
      <c r="C335" s="1">
        <v>2</v>
      </c>
      <c r="D335" s="31">
        <f>Table_supermarket_sales___Sheet1[[#This Row],[Cost Price]]+Table57[[#This Row],[Markup Cost]]</f>
        <v>25.827999999999999</v>
      </c>
      <c r="E335" s="1">
        <v>2</v>
      </c>
      <c r="F335" s="20">
        <f>Table_supermarket_sales___Sheet13[[#This Row],[Selling Price]]-Table_supermarket_sales___Sheet13[[#This Row],[Cost Price]]</f>
        <v>2.347999999999999</v>
      </c>
    </row>
    <row r="336" spans="1:6" x14ac:dyDescent="0.35">
      <c r="A336" s="3" t="s">
        <v>4</v>
      </c>
      <c r="B336" s="27">
        <v>14.7</v>
      </c>
      <c r="C336" s="1">
        <v>5</v>
      </c>
      <c r="D336" s="31">
        <f>Table_supermarket_sales___Sheet1[[#This Row],[Cost Price]]+Table57[[#This Row],[Markup Cost]]</f>
        <v>18.375</v>
      </c>
      <c r="E336" s="4">
        <v>5</v>
      </c>
      <c r="F336" s="20">
        <f>Table_supermarket_sales___Sheet13[[#This Row],[Selling Price]]-Table_supermarket_sales___Sheet13[[#This Row],[Cost Price]]</f>
        <v>3.6750000000000007</v>
      </c>
    </row>
    <row r="337" spans="1:6" x14ac:dyDescent="0.35">
      <c r="A337" s="3" t="s">
        <v>2</v>
      </c>
      <c r="B337" s="27">
        <v>28.45</v>
      </c>
      <c r="C337" s="1">
        <v>5</v>
      </c>
      <c r="D337" s="31">
        <f>Table_supermarket_sales___Sheet1[[#This Row],[Cost Price]]+Table57[[#This Row],[Markup Cost]]</f>
        <v>35.5625</v>
      </c>
      <c r="E337" s="1">
        <v>5</v>
      </c>
      <c r="F337" s="20">
        <f>Table_supermarket_sales___Sheet13[[#This Row],[Selling Price]]-Table_supermarket_sales___Sheet13[[#This Row],[Cost Price]]</f>
        <v>7.1125000000000007</v>
      </c>
    </row>
    <row r="338" spans="1:6" x14ac:dyDescent="0.35">
      <c r="A338" s="3" t="s">
        <v>6</v>
      </c>
      <c r="B338" s="27">
        <v>76.400000000000006</v>
      </c>
      <c r="C338" s="1">
        <v>9</v>
      </c>
      <c r="D338" s="31">
        <f>Table_supermarket_sales___Sheet1[[#This Row],[Cost Price]]+Table57[[#This Row],[Markup Cost]]</f>
        <v>110.78</v>
      </c>
      <c r="E338" s="4">
        <v>9</v>
      </c>
      <c r="F338" s="20">
        <f>Table_supermarket_sales___Sheet13[[#This Row],[Selling Price]]-Table_supermarket_sales___Sheet13[[#This Row],[Cost Price]]</f>
        <v>34.379999999999995</v>
      </c>
    </row>
    <row r="339" spans="1:6" x14ac:dyDescent="0.35">
      <c r="A339" s="3" t="s">
        <v>4</v>
      </c>
      <c r="B339" s="27">
        <v>57.95</v>
      </c>
      <c r="C339" s="1">
        <v>6</v>
      </c>
      <c r="D339" s="31">
        <f>Table_supermarket_sales___Sheet1[[#This Row],[Cost Price]]+Table57[[#This Row],[Markup Cost]]</f>
        <v>75.335000000000008</v>
      </c>
      <c r="E339" s="1">
        <v>6</v>
      </c>
      <c r="F339" s="20">
        <f>Table_supermarket_sales___Sheet13[[#This Row],[Selling Price]]-Table_supermarket_sales___Sheet13[[#This Row],[Cost Price]]</f>
        <v>17.385000000000005</v>
      </c>
    </row>
    <row r="340" spans="1:6" x14ac:dyDescent="0.35">
      <c r="A340" s="3" t="s">
        <v>2</v>
      </c>
      <c r="B340" s="27">
        <v>47.65</v>
      </c>
      <c r="C340" s="1">
        <v>3</v>
      </c>
      <c r="D340" s="31">
        <f>Table_supermarket_sales___Sheet1[[#This Row],[Cost Price]]+Table57[[#This Row],[Markup Cost]]</f>
        <v>54.797499999999999</v>
      </c>
      <c r="E340" s="4">
        <v>3</v>
      </c>
      <c r="F340" s="20">
        <f>Table_supermarket_sales___Sheet13[[#This Row],[Selling Price]]-Table_supermarket_sales___Sheet13[[#This Row],[Cost Price]]</f>
        <v>7.1475000000000009</v>
      </c>
    </row>
    <row r="341" spans="1:6" x14ac:dyDescent="0.35">
      <c r="A341" s="3" t="s">
        <v>5</v>
      </c>
      <c r="B341" s="27">
        <v>42.82</v>
      </c>
      <c r="C341" s="1">
        <v>9</v>
      </c>
      <c r="D341" s="31">
        <f>Table_supermarket_sales___Sheet1[[#This Row],[Cost Price]]+Table57[[#This Row],[Markup Cost]]</f>
        <v>62.088999999999999</v>
      </c>
      <c r="E341" s="1">
        <v>9</v>
      </c>
      <c r="F341" s="20">
        <f>Table_supermarket_sales___Sheet13[[#This Row],[Selling Price]]-Table_supermarket_sales___Sheet13[[#This Row],[Cost Price]]</f>
        <v>19.268999999999998</v>
      </c>
    </row>
    <row r="342" spans="1:6" x14ac:dyDescent="0.35">
      <c r="A342" s="3" t="s">
        <v>2</v>
      </c>
      <c r="B342" s="27">
        <v>48.09</v>
      </c>
      <c r="C342" s="1">
        <v>3</v>
      </c>
      <c r="D342" s="31">
        <f>Table_supermarket_sales___Sheet1[[#This Row],[Cost Price]]+Table57[[#This Row],[Markup Cost]]</f>
        <v>55.3035</v>
      </c>
      <c r="E342" s="4">
        <v>3</v>
      </c>
      <c r="F342" s="20">
        <f>Table_supermarket_sales___Sheet13[[#This Row],[Selling Price]]-Table_supermarket_sales___Sheet13[[#This Row],[Cost Price]]</f>
        <v>7.2134999999999962</v>
      </c>
    </row>
    <row r="343" spans="1:6" x14ac:dyDescent="0.35">
      <c r="A343" s="3" t="s">
        <v>1</v>
      </c>
      <c r="B343" s="27">
        <v>55.97</v>
      </c>
      <c r="C343" s="1">
        <v>7</v>
      </c>
      <c r="D343" s="31">
        <f>Table_supermarket_sales___Sheet1[[#This Row],[Cost Price]]+Table57[[#This Row],[Markup Cost]]</f>
        <v>75.5595</v>
      </c>
      <c r="E343" s="1">
        <v>7</v>
      </c>
      <c r="F343" s="20">
        <f>Table_supermarket_sales___Sheet13[[#This Row],[Selling Price]]-Table_supermarket_sales___Sheet13[[#This Row],[Cost Price]]</f>
        <v>19.589500000000001</v>
      </c>
    </row>
    <row r="344" spans="1:6" x14ac:dyDescent="0.35">
      <c r="A344" s="3" t="s">
        <v>1</v>
      </c>
      <c r="B344" s="27">
        <v>76.900000000000006</v>
      </c>
      <c r="C344" s="1">
        <v>7</v>
      </c>
      <c r="D344" s="31">
        <f>Table_supermarket_sales___Sheet1[[#This Row],[Cost Price]]+Table57[[#This Row],[Markup Cost]]</f>
        <v>103.815</v>
      </c>
      <c r="E344" s="4">
        <v>7</v>
      </c>
      <c r="F344" s="20">
        <f>Table_supermarket_sales___Sheet13[[#This Row],[Selling Price]]-Table_supermarket_sales___Sheet13[[#This Row],[Cost Price]]</f>
        <v>26.914999999999992</v>
      </c>
    </row>
    <row r="345" spans="1:6" x14ac:dyDescent="0.35">
      <c r="A345" s="3" t="s">
        <v>5</v>
      </c>
      <c r="B345" s="27">
        <v>97.03</v>
      </c>
      <c r="C345" s="1">
        <v>5</v>
      </c>
      <c r="D345" s="31">
        <f>Table_supermarket_sales___Sheet1[[#This Row],[Cost Price]]+Table57[[#This Row],[Markup Cost]]</f>
        <v>121.28749999999999</v>
      </c>
      <c r="E345" s="1">
        <v>5</v>
      </c>
      <c r="F345" s="20">
        <f>Table_supermarket_sales___Sheet13[[#This Row],[Selling Price]]-Table_supermarket_sales___Sheet13[[#This Row],[Cost Price]]</f>
        <v>24.257499999999993</v>
      </c>
    </row>
    <row r="346" spans="1:6" x14ac:dyDescent="0.35">
      <c r="A346" s="3" t="s">
        <v>4</v>
      </c>
      <c r="B346" s="27">
        <v>44.65</v>
      </c>
      <c r="C346" s="1">
        <v>3</v>
      </c>
      <c r="D346" s="31">
        <f>Table_supermarket_sales___Sheet1[[#This Row],[Cost Price]]+Table57[[#This Row],[Markup Cost]]</f>
        <v>51.347499999999997</v>
      </c>
      <c r="E346" s="4">
        <v>3</v>
      </c>
      <c r="F346" s="20">
        <f>Table_supermarket_sales___Sheet13[[#This Row],[Selling Price]]-Table_supermarket_sales___Sheet13[[#This Row],[Cost Price]]</f>
        <v>6.697499999999998</v>
      </c>
    </row>
    <row r="347" spans="1:6" x14ac:dyDescent="0.35">
      <c r="A347" s="3" t="s">
        <v>6</v>
      </c>
      <c r="B347" s="27">
        <v>77.930000000000007</v>
      </c>
      <c r="C347" s="1">
        <v>9</v>
      </c>
      <c r="D347" s="31">
        <f>Table_supermarket_sales___Sheet1[[#This Row],[Cost Price]]+Table57[[#This Row],[Markup Cost]]</f>
        <v>112.99850000000001</v>
      </c>
      <c r="E347" s="1">
        <v>9</v>
      </c>
      <c r="F347" s="20">
        <f>Table_supermarket_sales___Sheet13[[#This Row],[Selling Price]]-Table_supermarket_sales___Sheet13[[#This Row],[Cost Price]]</f>
        <v>35.0685</v>
      </c>
    </row>
    <row r="348" spans="1:6" x14ac:dyDescent="0.35">
      <c r="A348" s="3" t="s">
        <v>2</v>
      </c>
      <c r="B348" s="27">
        <v>71.95</v>
      </c>
      <c r="C348" s="1">
        <v>1</v>
      </c>
      <c r="D348" s="31">
        <f>Table_supermarket_sales___Sheet1[[#This Row],[Cost Price]]+Table57[[#This Row],[Markup Cost]]</f>
        <v>75.547499999999999</v>
      </c>
      <c r="E348" s="4">
        <v>1</v>
      </c>
      <c r="F348" s="20">
        <f>Table_supermarket_sales___Sheet13[[#This Row],[Selling Price]]-Table_supermarket_sales___Sheet13[[#This Row],[Cost Price]]</f>
        <v>3.5974999999999966</v>
      </c>
    </row>
    <row r="349" spans="1:6" x14ac:dyDescent="0.35">
      <c r="A349" s="3" t="s">
        <v>3</v>
      </c>
      <c r="B349" s="27">
        <v>89.25</v>
      </c>
      <c r="C349" s="1">
        <v>8</v>
      </c>
      <c r="D349" s="31">
        <f>Table_supermarket_sales___Sheet1[[#This Row],[Cost Price]]+Table57[[#This Row],[Markup Cost]]</f>
        <v>124.95</v>
      </c>
      <c r="E349" s="1">
        <v>8</v>
      </c>
      <c r="F349" s="20">
        <f>Table_supermarket_sales___Sheet13[[#This Row],[Selling Price]]-Table_supermarket_sales___Sheet13[[#This Row],[Cost Price]]</f>
        <v>35.700000000000003</v>
      </c>
    </row>
    <row r="350" spans="1:6" x14ac:dyDescent="0.35">
      <c r="A350" s="3" t="s">
        <v>2</v>
      </c>
      <c r="B350" s="27">
        <v>26.02</v>
      </c>
      <c r="C350" s="1">
        <v>7</v>
      </c>
      <c r="D350" s="31">
        <f>Table_supermarket_sales___Sheet1[[#This Row],[Cost Price]]+Table57[[#This Row],[Markup Cost]]</f>
        <v>35.126999999999995</v>
      </c>
      <c r="E350" s="4">
        <v>7</v>
      </c>
      <c r="F350" s="20">
        <f>Table_supermarket_sales___Sheet13[[#This Row],[Selling Price]]-Table_supermarket_sales___Sheet13[[#This Row],[Cost Price]]</f>
        <v>9.1069999999999958</v>
      </c>
    </row>
    <row r="351" spans="1:6" x14ac:dyDescent="0.35">
      <c r="A351" s="3" t="s">
        <v>1</v>
      </c>
      <c r="B351" s="27">
        <v>13.5</v>
      </c>
      <c r="C351" s="1">
        <v>10</v>
      </c>
      <c r="D351" s="31">
        <f>Table_supermarket_sales___Sheet1[[#This Row],[Cost Price]]+Table57[[#This Row],[Markup Cost]]</f>
        <v>20.25</v>
      </c>
      <c r="E351" s="1">
        <v>10</v>
      </c>
      <c r="F351" s="20">
        <f>Table_supermarket_sales___Sheet13[[#This Row],[Selling Price]]-Table_supermarket_sales___Sheet13[[#This Row],[Cost Price]]</f>
        <v>6.75</v>
      </c>
    </row>
    <row r="352" spans="1:6" x14ac:dyDescent="0.35">
      <c r="A352" s="3" t="s">
        <v>6</v>
      </c>
      <c r="B352" s="27">
        <v>99.3</v>
      </c>
      <c r="C352" s="1">
        <v>10</v>
      </c>
      <c r="D352" s="31">
        <f>Table_supermarket_sales___Sheet1[[#This Row],[Cost Price]]+Table57[[#This Row],[Markup Cost]]</f>
        <v>148.94999999999999</v>
      </c>
      <c r="E352" s="4">
        <v>10</v>
      </c>
      <c r="F352" s="20">
        <f>Table_supermarket_sales___Sheet13[[#This Row],[Selling Price]]-Table_supermarket_sales___Sheet13[[#This Row],[Cost Price]]</f>
        <v>49.649999999999991</v>
      </c>
    </row>
    <row r="353" spans="1:6" x14ac:dyDescent="0.35">
      <c r="A353" s="3" t="s">
        <v>2</v>
      </c>
      <c r="B353" s="27">
        <v>51.69</v>
      </c>
      <c r="C353" s="1">
        <v>7</v>
      </c>
      <c r="D353" s="31">
        <f>Table_supermarket_sales___Sheet1[[#This Row],[Cost Price]]+Table57[[#This Row],[Markup Cost]]</f>
        <v>69.781499999999994</v>
      </c>
      <c r="E353" s="1">
        <v>7</v>
      </c>
      <c r="F353" s="20">
        <f>Table_supermarket_sales___Sheet13[[#This Row],[Selling Price]]-Table_supermarket_sales___Sheet13[[#This Row],[Cost Price]]</f>
        <v>18.091499999999996</v>
      </c>
    </row>
    <row r="354" spans="1:6" x14ac:dyDescent="0.35">
      <c r="A354" s="3" t="s">
        <v>6</v>
      </c>
      <c r="B354" s="27">
        <v>54.73</v>
      </c>
      <c r="C354" s="1">
        <v>7</v>
      </c>
      <c r="D354" s="31">
        <f>Table_supermarket_sales___Sheet1[[#This Row],[Cost Price]]+Table57[[#This Row],[Markup Cost]]</f>
        <v>73.885499999999993</v>
      </c>
      <c r="E354" s="4">
        <v>7</v>
      </c>
      <c r="F354" s="20">
        <f>Table_supermarket_sales___Sheet13[[#This Row],[Selling Price]]-Table_supermarket_sales___Sheet13[[#This Row],[Cost Price]]</f>
        <v>19.155499999999996</v>
      </c>
    </row>
    <row r="355" spans="1:6" x14ac:dyDescent="0.35">
      <c r="A355" s="3" t="s">
        <v>3</v>
      </c>
      <c r="B355" s="27">
        <v>27</v>
      </c>
      <c r="C355" s="1">
        <v>9</v>
      </c>
      <c r="D355" s="31">
        <f>Table_supermarket_sales___Sheet1[[#This Row],[Cost Price]]+Table57[[#This Row],[Markup Cost]]</f>
        <v>39.15</v>
      </c>
      <c r="E355" s="1">
        <v>9</v>
      </c>
      <c r="F355" s="20">
        <f>Table_supermarket_sales___Sheet13[[#This Row],[Selling Price]]-Table_supermarket_sales___Sheet13[[#This Row],[Cost Price]]</f>
        <v>12.149999999999999</v>
      </c>
    </row>
    <row r="356" spans="1:6" x14ac:dyDescent="0.35">
      <c r="A356" s="3" t="s">
        <v>2</v>
      </c>
      <c r="B356" s="27">
        <v>30.24</v>
      </c>
      <c r="C356" s="1">
        <v>1</v>
      </c>
      <c r="D356" s="31">
        <f>Table_supermarket_sales___Sheet1[[#This Row],[Cost Price]]+Table57[[#This Row],[Markup Cost]]</f>
        <v>31.751999999999999</v>
      </c>
      <c r="E356" s="4">
        <v>1</v>
      </c>
      <c r="F356" s="20">
        <f>Table_supermarket_sales___Sheet13[[#This Row],[Selling Price]]-Table_supermarket_sales___Sheet13[[#This Row],[Cost Price]]</f>
        <v>1.5120000000000005</v>
      </c>
    </row>
    <row r="357" spans="1:6" x14ac:dyDescent="0.35">
      <c r="A357" s="3" t="s">
        <v>5</v>
      </c>
      <c r="B357" s="27">
        <v>89.14</v>
      </c>
      <c r="C357" s="1">
        <v>4</v>
      </c>
      <c r="D357" s="31">
        <f>Table_supermarket_sales___Sheet1[[#This Row],[Cost Price]]+Table57[[#This Row],[Markup Cost]]</f>
        <v>106.968</v>
      </c>
      <c r="E357" s="1">
        <v>4</v>
      </c>
      <c r="F357" s="20">
        <f>Table_supermarket_sales___Sheet13[[#This Row],[Selling Price]]-Table_supermarket_sales___Sheet13[[#This Row],[Cost Price]]</f>
        <v>17.828000000000003</v>
      </c>
    </row>
    <row r="358" spans="1:6" x14ac:dyDescent="0.35">
      <c r="A358" s="3" t="s">
        <v>6</v>
      </c>
      <c r="B358" s="27">
        <v>37.549999999999997</v>
      </c>
      <c r="C358" s="1">
        <v>10</v>
      </c>
      <c r="D358" s="31">
        <f>Table_supermarket_sales___Sheet1[[#This Row],[Cost Price]]+Table57[[#This Row],[Markup Cost]]</f>
        <v>56.324999999999996</v>
      </c>
      <c r="E358" s="4">
        <v>10</v>
      </c>
      <c r="F358" s="20">
        <f>Table_supermarket_sales___Sheet13[[#This Row],[Selling Price]]-Table_supermarket_sales___Sheet13[[#This Row],[Cost Price]]</f>
        <v>18.774999999999999</v>
      </c>
    </row>
    <row r="359" spans="1:6" x14ac:dyDescent="0.35">
      <c r="A359" s="3" t="s">
        <v>4</v>
      </c>
      <c r="B359" s="27">
        <v>95.44</v>
      </c>
      <c r="C359" s="1">
        <v>10</v>
      </c>
      <c r="D359" s="31">
        <f>Table_supermarket_sales___Sheet1[[#This Row],[Cost Price]]+Table57[[#This Row],[Markup Cost]]</f>
        <v>143.16</v>
      </c>
      <c r="E359" s="1">
        <v>10</v>
      </c>
      <c r="F359" s="20">
        <f>Table_supermarket_sales___Sheet13[[#This Row],[Selling Price]]-Table_supermarket_sales___Sheet13[[#This Row],[Cost Price]]</f>
        <v>47.72</v>
      </c>
    </row>
    <row r="360" spans="1:6" x14ac:dyDescent="0.35">
      <c r="A360" s="3" t="s">
        <v>2</v>
      </c>
      <c r="B360" s="27">
        <v>27.5</v>
      </c>
      <c r="C360" s="1">
        <v>3</v>
      </c>
      <c r="D360" s="31">
        <f>Table_supermarket_sales___Sheet1[[#This Row],[Cost Price]]+Table57[[#This Row],[Markup Cost]]</f>
        <v>31.625</v>
      </c>
      <c r="E360" s="4">
        <v>3</v>
      </c>
      <c r="F360" s="20">
        <f>Table_supermarket_sales___Sheet13[[#This Row],[Selling Price]]-Table_supermarket_sales___Sheet13[[#This Row],[Cost Price]]</f>
        <v>4.125</v>
      </c>
    </row>
    <row r="361" spans="1:6" x14ac:dyDescent="0.35">
      <c r="A361" s="3" t="s">
        <v>4</v>
      </c>
      <c r="B361" s="27">
        <v>74.97</v>
      </c>
      <c r="C361" s="1">
        <v>1</v>
      </c>
      <c r="D361" s="31">
        <f>Table_supermarket_sales___Sheet1[[#This Row],[Cost Price]]+Table57[[#This Row],[Markup Cost]]</f>
        <v>78.718500000000006</v>
      </c>
      <c r="E361" s="1">
        <v>1</v>
      </c>
      <c r="F361" s="20">
        <f>Table_supermarket_sales___Sheet13[[#This Row],[Selling Price]]-Table_supermarket_sales___Sheet13[[#This Row],[Cost Price]]</f>
        <v>3.748500000000007</v>
      </c>
    </row>
    <row r="362" spans="1:6" x14ac:dyDescent="0.35">
      <c r="A362" s="3" t="s">
        <v>5</v>
      </c>
      <c r="B362" s="27">
        <v>80.959999999999994</v>
      </c>
      <c r="C362" s="1">
        <v>8</v>
      </c>
      <c r="D362" s="31">
        <f>Table_supermarket_sales___Sheet1[[#This Row],[Cost Price]]+Table57[[#This Row],[Markup Cost]]</f>
        <v>113.34399999999999</v>
      </c>
      <c r="E362" s="4">
        <v>8</v>
      </c>
      <c r="F362" s="20">
        <f>Table_supermarket_sales___Sheet13[[#This Row],[Selling Price]]-Table_supermarket_sales___Sheet13[[#This Row],[Cost Price]]</f>
        <v>32.384</v>
      </c>
    </row>
    <row r="363" spans="1:6" x14ac:dyDescent="0.35">
      <c r="A363" s="3" t="s">
        <v>5</v>
      </c>
      <c r="B363" s="27">
        <v>94.47</v>
      </c>
      <c r="C363" s="1">
        <v>8</v>
      </c>
      <c r="D363" s="31">
        <f>Table_supermarket_sales___Sheet1[[#This Row],[Cost Price]]+Table57[[#This Row],[Markup Cost]]</f>
        <v>132.25799999999998</v>
      </c>
      <c r="E363" s="1">
        <v>8</v>
      </c>
      <c r="F363" s="20">
        <f>Table_supermarket_sales___Sheet13[[#This Row],[Selling Price]]-Table_supermarket_sales___Sheet13[[#This Row],[Cost Price]]</f>
        <v>37.787999999999982</v>
      </c>
    </row>
    <row r="364" spans="1:6" x14ac:dyDescent="0.35">
      <c r="A364" s="3" t="s">
        <v>5</v>
      </c>
      <c r="B364" s="27">
        <v>99.79</v>
      </c>
      <c r="C364" s="1">
        <v>2</v>
      </c>
      <c r="D364" s="31">
        <f>Table_supermarket_sales___Sheet1[[#This Row],[Cost Price]]+Table57[[#This Row],[Markup Cost]]</f>
        <v>109.76900000000001</v>
      </c>
      <c r="E364" s="4">
        <v>2</v>
      </c>
      <c r="F364" s="20">
        <f>Table_supermarket_sales___Sheet13[[#This Row],[Selling Price]]-Table_supermarket_sales___Sheet13[[#This Row],[Cost Price]]</f>
        <v>9.9789999999999992</v>
      </c>
    </row>
    <row r="365" spans="1:6" x14ac:dyDescent="0.35">
      <c r="A365" s="3" t="s">
        <v>3</v>
      </c>
      <c r="B365" s="27">
        <v>73.22</v>
      </c>
      <c r="C365" s="1">
        <v>6</v>
      </c>
      <c r="D365" s="31">
        <f>Table_supermarket_sales___Sheet1[[#This Row],[Cost Price]]+Table57[[#This Row],[Markup Cost]]</f>
        <v>95.186000000000007</v>
      </c>
      <c r="E365" s="1">
        <v>6</v>
      </c>
      <c r="F365" s="20">
        <f>Table_supermarket_sales___Sheet13[[#This Row],[Selling Price]]-Table_supermarket_sales___Sheet13[[#This Row],[Cost Price]]</f>
        <v>21.966000000000008</v>
      </c>
    </row>
    <row r="366" spans="1:6" x14ac:dyDescent="0.35">
      <c r="A366" s="3" t="s">
        <v>5</v>
      </c>
      <c r="B366" s="27">
        <v>41.24</v>
      </c>
      <c r="C366" s="1">
        <v>4</v>
      </c>
      <c r="D366" s="31">
        <f>Table_supermarket_sales___Sheet1[[#This Row],[Cost Price]]+Table57[[#This Row],[Markup Cost]]</f>
        <v>49.488</v>
      </c>
      <c r="E366" s="4">
        <v>4</v>
      </c>
      <c r="F366" s="20">
        <f>Table_supermarket_sales___Sheet13[[#This Row],[Selling Price]]-Table_supermarket_sales___Sheet13[[#This Row],[Cost Price]]</f>
        <v>8.2479999999999976</v>
      </c>
    </row>
    <row r="367" spans="1:6" x14ac:dyDescent="0.35">
      <c r="A367" s="3" t="s">
        <v>6</v>
      </c>
      <c r="B367" s="27">
        <v>81.680000000000007</v>
      </c>
      <c r="C367" s="1">
        <v>4</v>
      </c>
      <c r="D367" s="31">
        <f>Table_supermarket_sales___Sheet1[[#This Row],[Cost Price]]+Table57[[#This Row],[Markup Cost]]</f>
        <v>98.016000000000005</v>
      </c>
      <c r="E367" s="1">
        <v>4</v>
      </c>
      <c r="F367" s="20">
        <f>Table_supermarket_sales___Sheet13[[#This Row],[Selling Price]]-Table_supermarket_sales___Sheet13[[#This Row],[Cost Price]]</f>
        <v>16.335999999999999</v>
      </c>
    </row>
    <row r="368" spans="1:6" x14ac:dyDescent="0.35">
      <c r="A368" s="3" t="s">
        <v>2</v>
      </c>
      <c r="B368" s="27">
        <v>51.32</v>
      </c>
      <c r="C368" s="1">
        <v>9</v>
      </c>
      <c r="D368" s="31">
        <f>Table_supermarket_sales___Sheet1[[#This Row],[Cost Price]]+Table57[[#This Row],[Markup Cost]]</f>
        <v>74.414000000000001</v>
      </c>
      <c r="E368" s="4">
        <v>9</v>
      </c>
      <c r="F368" s="20">
        <f>Table_supermarket_sales___Sheet13[[#This Row],[Selling Price]]-Table_supermarket_sales___Sheet13[[#This Row],[Cost Price]]</f>
        <v>23.094000000000001</v>
      </c>
    </row>
    <row r="369" spans="1:6" x14ac:dyDescent="0.35">
      <c r="A369" s="3" t="s">
        <v>3</v>
      </c>
      <c r="B369" s="27">
        <v>65.94</v>
      </c>
      <c r="C369" s="1">
        <v>4</v>
      </c>
      <c r="D369" s="31">
        <f>Table_supermarket_sales___Sheet1[[#This Row],[Cost Price]]+Table57[[#This Row],[Markup Cost]]</f>
        <v>79.128</v>
      </c>
      <c r="E369" s="1">
        <v>4</v>
      </c>
      <c r="F369" s="20">
        <f>Table_supermarket_sales___Sheet13[[#This Row],[Selling Price]]-Table_supermarket_sales___Sheet13[[#This Row],[Cost Price]]</f>
        <v>13.188000000000002</v>
      </c>
    </row>
    <row r="370" spans="1:6" x14ac:dyDescent="0.35">
      <c r="A370" s="3" t="s">
        <v>4</v>
      </c>
      <c r="B370" s="27">
        <v>14.36</v>
      </c>
      <c r="C370" s="1">
        <v>10</v>
      </c>
      <c r="D370" s="31">
        <f>Table_supermarket_sales___Sheet1[[#This Row],[Cost Price]]+Table57[[#This Row],[Markup Cost]]</f>
        <v>21.54</v>
      </c>
      <c r="E370" s="4">
        <v>10</v>
      </c>
      <c r="F370" s="20">
        <f>Table_supermarket_sales___Sheet13[[#This Row],[Selling Price]]-Table_supermarket_sales___Sheet13[[#This Row],[Cost Price]]</f>
        <v>7.18</v>
      </c>
    </row>
    <row r="371" spans="1:6" x14ac:dyDescent="0.35">
      <c r="A371" s="3" t="s">
        <v>2</v>
      </c>
      <c r="B371" s="27">
        <v>21.5</v>
      </c>
      <c r="C371" s="1">
        <v>9</v>
      </c>
      <c r="D371" s="31">
        <f>Table_supermarket_sales___Sheet1[[#This Row],[Cost Price]]+Table57[[#This Row],[Markup Cost]]</f>
        <v>31.175000000000001</v>
      </c>
      <c r="E371" s="1">
        <v>9</v>
      </c>
      <c r="F371" s="20">
        <f>Table_supermarket_sales___Sheet13[[#This Row],[Selling Price]]-Table_supermarket_sales___Sheet13[[#This Row],[Cost Price]]</f>
        <v>9.6750000000000007</v>
      </c>
    </row>
    <row r="372" spans="1:6" x14ac:dyDescent="0.35">
      <c r="A372" s="3" t="s">
        <v>2</v>
      </c>
      <c r="B372" s="27">
        <v>26.26</v>
      </c>
      <c r="C372" s="1">
        <v>7</v>
      </c>
      <c r="D372" s="31">
        <f>Table_supermarket_sales___Sheet1[[#This Row],[Cost Price]]+Table57[[#This Row],[Markup Cost]]</f>
        <v>35.451000000000001</v>
      </c>
      <c r="E372" s="4">
        <v>7</v>
      </c>
      <c r="F372" s="20">
        <f>Table_supermarket_sales___Sheet13[[#This Row],[Selling Price]]-Table_supermarket_sales___Sheet13[[#This Row],[Cost Price]]</f>
        <v>9.1909999999999989</v>
      </c>
    </row>
    <row r="373" spans="1:6" x14ac:dyDescent="0.35">
      <c r="A373" s="3" t="s">
        <v>6</v>
      </c>
      <c r="B373" s="27">
        <v>60.96</v>
      </c>
      <c r="C373" s="1">
        <v>2</v>
      </c>
      <c r="D373" s="31">
        <f>Table_supermarket_sales___Sheet1[[#This Row],[Cost Price]]+Table57[[#This Row],[Markup Cost]]</f>
        <v>67.055999999999997</v>
      </c>
      <c r="E373" s="1">
        <v>2</v>
      </c>
      <c r="F373" s="20">
        <f>Table_supermarket_sales___Sheet13[[#This Row],[Selling Price]]-Table_supermarket_sales___Sheet13[[#This Row],[Cost Price]]</f>
        <v>6.0959999999999965</v>
      </c>
    </row>
    <row r="374" spans="1:6" x14ac:dyDescent="0.35">
      <c r="A374" s="3" t="s">
        <v>3</v>
      </c>
      <c r="B374" s="27">
        <v>70.11</v>
      </c>
      <c r="C374" s="1">
        <v>6</v>
      </c>
      <c r="D374" s="31">
        <f>Table_supermarket_sales___Sheet1[[#This Row],[Cost Price]]+Table57[[#This Row],[Markup Cost]]</f>
        <v>91.143000000000001</v>
      </c>
      <c r="E374" s="4">
        <v>6</v>
      </c>
      <c r="F374" s="20">
        <f>Table_supermarket_sales___Sheet13[[#This Row],[Selling Price]]-Table_supermarket_sales___Sheet13[[#This Row],[Cost Price]]</f>
        <v>21.033000000000001</v>
      </c>
    </row>
    <row r="375" spans="1:6" x14ac:dyDescent="0.35">
      <c r="A375" s="3" t="s">
        <v>6</v>
      </c>
      <c r="B375" s="27">
        <v>42.08</v>
      </c>
      <c r="C375" s="1">
        <v>6</v>
      </c>
      <c r="D375" s="31">
        <f>Table_supermarket_sales___Sheet1[[#This Row],[Cost Price]]+Table57[[#This Row],[Markup Cost]]</f>
        <v>54.704000000000001</v>
      </c>
      <c r="E375" s="1">
        <v>6</v>
      </c>
      <c r="F375" s="20">
        <f>Table_supermarket_sales___Sheet13[[#This Row],[Selling Price]]-Table_supermarket_sales___Sheet13[[#This Row],[Cost Price]]</f>
        <v>12.624000000000002</v>
      </c>
    </row>
    <row r="376" spans="1:6" x14ac:dyDescent="0.35">
      <c r="A376" s="3" t="s">
        <v>3</v>
      </c>
      <c r="B376" s="27">
        <v>67.09</v>
      </c>
      <c r="C376" s="1">
        <v>5</v>
      </c>
      <c r="D376" s="31">
        <f>Table_supermarket_sales___Sheet1[[#This Row],[Cost Price]]+Table57[[#This Row],[Markup Cost]]</f>
        <v>83.862500000000011</v>
      </c>
      <c r="E376" s="4">
        <v>5</v>
      </c>
      <c r="F376" s="20">
        <f>Table_supermarket_sales___Sheet13[[#This Row],[Selling Price]]-Table_supermarket_sales___Sheet13[[#This Row],[Cost Price]]</f>
        <v>16.772500000000008</v>
      </c>
    </row>
    <row r="377" spans="1:6" x14ac:dyDescent="0.35">
      <c r="A377" s="3" t="s">
        <v>6</v>
      </c>
      <c r="B377" s="27">
        <v>96.7</v>
      </c>
      <c r="C377" s="1">
        <v>5</v>
      </c>
      <c r="D377" s="31">
        <f>Table_supermarket_sales___Sheet1[[#This Row],[Cost Price]]+Table57[[#This Row],[Markup Cost]]</f>
        <v>120.875</v>
      </c>
      <c r="E377" s="1">
        <v>5</v>
      </c>
      <c r="F377" s="20">
        <f>Table_supermarket_sales___Sheet13[[#This Row],[Selling Price]]-Table_supermarket_sales___Sheet13[[#This Row],[Cost Price]]</f>
        <v>24.174999999999997</v>
      </c>
    </row>
    <row r="378" spans="1:6" x14ac:dyDescent="0.35">
      <c r="A378" s="3" t="s">
        <v>3</v>
      </c>
      <c r="B378" s="27">
        <v>35.380000000000003</v>
      </c>
      <c r="C378" s="1">
        <v>9</v>
      </c>
      <c r="D378" s="31">
        <f>Table_supermarket_sales___Sheet1[[#This Row],[Cost Price]]+Table57[[#This Row],[Markup Cost]]</f>
        <v>51.301000000000002</v>
      </c>
      <c r="E378" s="4">
        <v>9</v>
      </c>
      <c r="F378" s="20">
        <f>Table_supermarket_sales___Sheet13[[#This Row],[Selling Price]]-Table_supermarket_sales___Sheet13[[#This Row],[Cost Price]]</f>
        <v>15.920999999999999</v>
      </c>
    </row>
    <row r="379" spans="1:6" x14ac:dyDescent="0.35">
      <c r="A379" s="3" t="s">
        <v>4</v>
      </c>
      <c r="B379" s="27">
        <v>95.49</v>
      </c>
      <c r="C379" s="1">
        <v>7</v>
      </c>
      <c r="D379" s="31">
        <f>Table_supermarket_sales___Sheet1[[#This Row],[Cost Price]]+Table57[[#This Row],[Markup Cost]]</f>
        <v>128.91149999999999</v>
      </c>
      <c r="E379" s="1">
        <v>7</v>
      </c>
      <c r="F379" s="20">
        <f>Table_supermarket_sales___Sheet13[[#This Row],[Selling Price]]-Table_supermarket_sales___Sheet13[[#This Row],[Cost Price]]</f>
        <v>33.421499999999995</v>
      </c>
    </row>
    <row r="380" spans="1:6" x14ac:dyDescent="0.35">
      <c r="A380" s="3" t="s">
        <v>6</v>
      </c>
      <c r="B380" s="27">
        <v>96.98</v>
      </c>
      <c r="C380" s="1">
        <v>4</v>
      </c>
      <c r="D380" s="31">
        <f>Table_supermarket_sales___Sheet1[[#This Row],[Cost Price]]+Table57[[#This Row],[Markup Cost]]</f>
        <v>116.376</v>
      </c>
      <c r="E380" s="4">
        <v>4</v>
      </c>
      <c r="F380" s="20">
        <f>Table_supermarket_sales___Sheet13[[#This Row],[Selling Price]]-Table_supermarket_sales___Sheet13[[#This Row],[Cost Price]]</f>
        <v>19.396000000000001</v>
      </c>
    </row>
    <row r="381" spans="1:6" x14ac:dyDescent="0.35">
      <c r="A381" s="3" t="s">
        <v>2</v>
      </c>
      <c r="B381" s="27">
        <v>23.65</v>
      </c>
      <c r="C381" s="1">
        <v>4</v>
      </c>
      <c r="D381" s="31">
        <f>Table_supermarket_sales___Sheet1[[#This Row],[Cost Price]]+Table57[[#This Row],[Markup Cost]]</f>
        <v>28.38</v>
      </c>
      <c r="E381" s="1">
        <v>4</v>
      </c>
      <c r="F381" s="20">
        <f>Table_supermarket_sales___Sheet13[[#This Row],[Selling Price]]-Table_supermarket_sales___Sheet13[[#This Row],[Cost Price]]</f>
        <v>4.7300000000000004</v>
      </c>
    </row>
    <row r="382" spans="1:6" x14ac:dyDescent="0.35">
      <c r="A382" s="3" t="s">
        <v>4</v>
      </c>
      <c r="B382" s="27">
        <v>82.33</v>
      </c>
      <c r="C382" s="1">
        <v>4</v>
      </c>
      <c r="D382" s="31">
        <f>Table_supermarket_sales___Sheet1[[#This Row],[Cost Price]]+Table57[[#This Row],[Markup Cost]]</f>
        <v>98.795999999999992</v>
      </c>
      <c r="E382" s="4">
        <v>4</v>
      </c>
      <c r="F382" s="20">
        <f>Table_supermarket_sales___Sheet13[[#This Row],[Selling Price]]-Table_supermarket_sales___Sheet13[[#This Row],[Cost Price]]</f>
        <v>16.465999999999994</v>
      </c>
    </row>
    <row r="383" spans="1:6" x14ac:dyDescent="0.35">
      <c r="A383" s="3" t="s">
        <v>2</v>
      </c>
      <c r="B383" s="27">
        <v>26.61</v>
      </c>
      <c r="C383" s="1">
        <v>2</v>
      </c>
      <c r="D383" s="31">
        <f>Table_supermarket_sales___Sheet1[[#This Row],[Cost Price]]+Table57[[#This Row],[Markup Cost]]</f>
        <v>29.271000000000001</v>
      </c>
      <c r="E383" s="1">
        <v>2</v>
      </c>
      <c r="F383" s="20">
        <f>Table_supermarket_sales___Sheet13[[#This Row],[Selling Price]]-Table_supermarket_sales___Sheet13[[#This Row],[Cost Price]]</f>
        <v>2.6610000000000014</v>
      </c>
    </row>
    <row r="384" spans="1:6" x14ac:dyDescent="0.35">
      <c r="A384" s="3" t="s">
        <v>5</v>
      </c>
      <c r="B384" s="27">
        <v>99.69</v>
      </c>
      <c r="C384" s="1">
        <v>5</v>
      </c>
      <c r="D384" s="31">
        <f>Table_supermarket_sales___Sheet1[[#This Row],[Cost Price]]+Table57[[#This Row],[Markup Cost]]</f>
        <v>124.6125</v>
      </c>
      <c r="E384" s="4">
        <v>5</v>
      </c>
      <c r="F384" s="20">
        <f>Table_supermarket_sales___Sheet13[[#This Row],[Selling Price]]-Table_supermarket_sales___Sheet13[[#This Row],[Cost Price]]</f>
        <v>24.922499999999999</v>
      </c>
    </row>
    <row r="385" spans="1:6" x14ac:dyDescent="0.35">
      <c r="A385" s="3" t="s">
        <v>5</v>
      </c>
      <c r="B385" s="27">
        <v>74.89</v>
      </c>
      <c r="C385" s="1">
        <v>4</v>
      </c>
      <c r="D385" s="31">
        <f>Table_supermarket_sales___Sheet1[[#This Row],[Cost Price]]+Table57[[#This Row],[Markup Cost]]</f>
        <v>89.867999999999995</v>
      </c>
      <c r="E385" s="1">
        <v>4</v>
      </c>
      <c r="F385" s="20">
        <f>Table_supermarket_sales___Sheet13[[#This Row],[Selling Price]]-Table_supermarket_sales___Sheet13[[#This Row],[Cost Price]]</f>
        <v>14.977999999999994</v>
      </c>
    </row>
    <row r="386" spans="1:6" x14ac:dyDescent="0.35">
      <c r="A386" s="3" t="s">
        <v>5</v>
      </c>
      <c r="B386" s="27">
        <v>40.94</v>
      </c>
      <c r="C386" s="1">
        <v>5</v>
      </c>
      <c r="D386" s="31">
        <f>Table_supermarket_sales___Sheet1[[#This Row],[Cost Price]]+Table57[[#This Row],[Markup Cost]]</f>
        <v>51.174999999999997</v>
      </c>
      <c r="E386" s="4">
        <v>5</v>
      </c>
      <c r="F386" s="20">
        <f>Table_supermarket_sales___Sheet13[[#This Row],[Selling Price]]-Table_supermarket_sales___Sheet13[[#This Row],[Cost Price]]</f>
        <v>10.234999999999999</v>
      </c>
    </row>
    <row r="387" spans="1:6" x14ac:dyDescent="0.35">
      <c r="A387" s="3" t="s">
        <v>4</v>
      </c>
      <c r="B387" s="27">
        <v>75.819999999999993</v>
      </c>
      <c r="C387" s="1">
        <v>1</v>
      </c>
      <c r="D387" s="31">
        <f>Table_supermarket_sales___Sheet1[[#This Row],[Cost Price]]+Table57[[#This Row],[Markup Cost]]</f>
        <v>79.61099999999999</v>
      </c>
      <c r="E387" s="1">
        <v>1</v>
      </c>
      <c r="F387" s="20">
        <f>Table_supermarket_sales___Sheet13[[#This Row],[Selling Price]]-Table_supermarket_sales___Sheet13[[#This Row],[Cost Price]]</f>
        <v>3.7909999999999968</v>
      </c>
    </row>
    <row r="388" spans="1:6" x14ac:dyDescent="0.35">
      <c r="A388" s="3" t="s">
        <v>5</v>
      </c>
      <c r="B388" s="27">
        <v>46.77</v>
      </c>
      <c r="C388" s="1">
        <v>6</v>
      </c>
      <c r="D388" s="31">
        <f>Table_supermarket_sales___Sheet1[[#This Row],[Cost Price]]+Table57[[#This Row],[Markup Cost]]</f>
        <v>60.801000000000002</v>
      </c>
      <c r="E388" s="4">
        <v>6</v>
      </c>
      <c r="F388" s="20">
        <f>Table_supermarket_sales___Sheet13[[#This Row],[Selling Price]]-Table_supermarket_sales___Sheet13[[#This Row],[Cost Price]]</f>
        <v>14.030999999999999</v>
      </c>
    </row>
    <row r="389" spans="1:6" x14ac:dyDescent="0.35">
      <c r="A389" s="3" t="s">
        <v>1</v>
      </c>
      <c r="B389" s="27">
        <v>32.32</v>
      </c>
      <c r="C389" s="1">
        <v>10</v>
      </c>
      <c r="D389" s="31">
        <f>Table_supermarket_sales___Sheet1[[#This Row],[Cost Price]]+Table57[[#This Row],[Markup Cost]]</f>
        <v>48.480000000000004</v>
      </c>
      <c r="E389" s="1">
        <v>10</v>
      </c>
      <c r="F389" s="20">
        <f>Table_supermarket_sales___Sheet13[[#This Row],[Selling Price]]-Table_supermarket_sales___Sheet13[[#This Row],[Cost Price]]</f>
        <v>16.160000000000004</v>
      </c>
    </row>
    <row r="390" spans="1:6" x14ac:dyDescent="0.35">
      <c r="A390" s="3" t="s">
        <v>6</v>
      </c>
      <c r="B390" s="27">
        <v>54.07</v>
      </c>
      <c r="C390" s="1">
        <v>9</v>
      </c>
      <c r="D390" s="31">
        <f>Table_supermarket_sales___Sheet1[[#This Row],[Cost Price]]+Table57[[#This Row],[Markup Cost]]</f>
        <v>78.401499999999999</v>
      </c>
      <c r="E390" s="4">
        <v>9</v>
      </c>
      <c r="F390" s="20">
        <f>Table_supermarket_sales___Sheet13[[#This Row],[Selling Price]]-Table_supermarket_sales___Sheet13[[#This Row],[Cost Price]]</f>
        <v>24.331499999999998</v>
      </c>
    </row>
    <row r="391" spans="1:6" x14ac:dyDescent="0.35">
      <c r="A391" s="3" t="s">
        <v>5</v>
      </c>
      <c r="B391" s="27">
        <v>18.22</v>
      </c>
      <c r="C391" s="1">
        <v>7</v>
      </c>
      <c r="D391" s="31">
        <f>Table_supermarket_sales___Sheet1[[#This Row],[Cost Price]]+Table57[[#This Row],[Markup Cost]]</f>
        <v>24.596999999999998</v>
      </c>
      <c r="E391" s="1">
        <v>7</v>
      </c>
      <c r="F391" s="20">
        <f>Table_supermarket_sales___Sheet13[[#This Row],[Selling Price]]-Table_supermarket_sales___Sheet13[[#This Row],[Cost Price]]</f>
        <v>6.3769999999999989</v>
      </c>
    </row>
    <row r="392" spans="1:6" x14ac:dyDescent="0.35">
      <c r="A392" s="3" t="s">
        <v>6</v>
      </c>
      <c r="B392" s="27">
        <v>80.48</v>
      </c>
      <c r="C392" s="1">
        <v>3</v>
      </c>
      <c r="D392" s="31">
        <f>Table_supermarket_sales___Sheet1[[#This Row],[Cost Price]]+Table57[[#This Row],[Markup Cost]]</f>
        <v>92.552000000000007</v>
      </c>
      <c r="E392" s="4">
        <v>3</v>
      </c>
      <c r="F392" s="20">
        <f>Table_supermarket_sales___Sheet13[[#This Row],[Selling Price]]-Table_supermarket_sales___Sheet13[[#This Row],[Cost Price]]</f>
        <v>12.072000000000003</v>
      </c>
    </row>
    <row r="393" spans="1:6" x14ac:dyDescent="0.35">
      <c r="A393" s="3" t="s">
        <v>6</v>
      </c>
      <c r="B393" s="27">
        <v>37.950000000000003</v>
      </c>
      <c r="C393" s="1">
        <v>10</v>
      </c>
      <c r="D393" s="31">
        <f>Table_supermarket_sales___Sheet1[[#This Row],[Cost Price]]+Table57[[#This Row],[Markup Cost]]</f>
        <v>56.925000000000004</v>
      </c>
      <c r="E393" s="1">
        <v>10</v>
      </c>
      <c r="F393" s="20">
        <f>Table_supermarket_sales___Sheet13[[#This Row],[Selling Price]]-Table_supermarket_sales___Sheet13[[#This Row],[Cost Price]]</f>
        <v>18.975000000000001</v>
      </c>
    </row>
    <row r="394" spans="1:6" x14ac:dyDescent="0.35">
      <c r="A394" s="3" t="s">
        <v>2</v>
      </c>
      <c r="B394" s="27">
        <v>76.819999999999993</v>
      </c>
      <c r="C394" s="1">
        <v>1</v>
      </c>
      <c r="D394" s="31">
        <f>Table_supermarket_sales___Sheet1[[#This Row],[Cost Price]]+Table57[[#This Row],[Markup Cost]]</f>
        <v>80.660999999999987</v>
      </c>
      <c r="E394" s="4">
        <v>1</v>
      </c>
      <c r="F394" s="20">
        <f>Table_supermarket_sales___Sheet13[[#This Row],[Selling Price]]-Table_supermarket_sales___Sheet13[[#This Row],[Cost Price]]</f>
        <v>3.840999999999994</v>
      </c>
    </row>
    <row r="395" spans="1:6" x14ac:dyDescent="0.35">
      <c r="A395" s="3" t="s">
        <v>4</v>
      </c>
      <c r="B395" s="27">
        <v>52.26</v>
      </c>
      <c r="C395" s="1">
        <v>10</v>
      </c>
      <c r="D395" s="31">
        <f>Table_supermarket_sales___Sheet1[[#This Row],[Cost Price]]+Table57[[#This Row],[Markup Cost]]</f>
        <v>78.39</v>
      </c>
      <c r="E395" s="1">
        <v>10</v>
      </c>
      <c r="F395" s="20">
        <f>Table_supermarket_sales___Sheet13[[#This Row],[Selling Price]]-Table_supermarket_sales___Sheet13[[#This Row],[Cost Price]]</f>
        <v>26.130000000000003</v>
      </c>
    </row>
    <row r="396" spans="1:6" x14ac:dyDescent="0.35">
      <c r="A396" s="3" t="s">
        <v>1</v>
      </c>
      <c r="B396" s="27">
        <v>79.739999999999995</v>
      </c>
      <c r="C396" s="1">
        <v>1</v>
      </c>
      <c r="D396" s="31">
        <f>Table_supermarket_sales___Sheet1[[#This Row],[Cost Price]]+Table57[[#This Row],[Markup Cost]]</f>
        <v>83.72699999999999</v>
      </c>
      <c r="E396" s="4">
        <v>1</v>
      </c>
      <c r="F396" s="20">
        <f>Table_supermarket_sales___Sheet13[[#This Row],[Selling Price]]-Table_supermarket_sales___Sheet13[[#This Row],[Cost Price]]</f>
        <v>3.9869999999999948</v>
      </c>
    </row>
    <row r="397" spans="1:6" x14ac:dyDescent="0.35">
      <c r="A397" s="3" t="s">
        <v>1</v>
      </c>
      <c r="B397" s="27">
        <v>77.5</v>
      </c>
      <c r="C397" s="1">
        <v>5</v>
      </c>
      <c r="D397" s="31">
        <f>Table_supermarket_sales___Sheet1[[#This Row],[Cost Price]]+Table57[[#This Row],[Markup Cost]]</f>
        <v>96.875</v>
      </c>
      <c r="E397" s="1">
        <v>5</v>
      </c>
      <c r="F397" s="20">
        <f>Table_supermarket_sales___Sheet13[[#This Row],[Selling Price]]-Table_supermarket_sales___Sheet13[[#This Row],[Cost Price]]</f>
        <v>19.375</v>
      </c>
    </row>
    <row r="398" spans="1:6" x14ac:dyDescent="0.35">
      <c r="A398" s="3" t="s">
        <v>5</v>
      </c>
      <c r="B398" s="27">
        <v>54.27</v>
      </c>
      <c r="C398" s="1">
        <v>5</v>
      </c>
      <c r="D398" s="31">
        <f>Table_supermarket_sales___Sheet1[[#This Row],[Cost Price]]+Table57[[#This Row],[Markup Cost]]</f>
        <v>67.837500000000006</v>
      </c>
      <c r="E398" s="4">
        <v>5</v>
      </c>
      <c r="F398" s="20">
        <f>Table_supermarket_sales___Sheet13[[#This Row],[Selling Price]]-Table_supermarket_sales___Sheet13[[#This Row],[Cost Price]]</f>
        <v>13.567500000000003</v>
      </c>
    </row>
    <row r="399" spans="1:6" x14ac:dyDescent="0.35">
      <c r="A399" s="3" t="s">
        <v>3</v>
      </c>
      <c r="B399" s="27">
        <v>13.59</v>
      </c>
      <c r="C399" s="1">
        <v>9</v>
      </c>
      <c r="D399" s="31">
        <f>Table_supermarket_sales___Sheet1[[#This Row],[Cost Price]]+Table57[[#This Row],[Markup Cost]]</f>
        <v>19.705500000000001</v>
      </c>
      <c r="E399" s="1">
        <v>9</v>
      </c>
      <c r="F399" s="20">
        <f>Table_supermarket_sales___Sheet13[[#This Row],[Selling Price]]-Table_supermarket_sales___Sheet13[[#This Row],[Cost Price]]</f>
        <v>6.1155000000000008</v>
      </c>
    </row>
    <row r="400" spans="1:6" x14ac:dyDescent="0.35">
      <c r="A400" s="3" t="s">
        <v>1</v>
      </c>
      <c r="B400" s="27">
        <v>41.06</v>
      </c>
      <c r="C400" s="1">
        <v>6</v>
      </c>
      <c r="D400" s="31">
        <f>Table_supermarket_sales___Sheet1[[#This Row],[Cost Price]]+Table57[[#This Row],[Markup Cost]]</f>
        <v>53.378</v>
      </c>
      <c r="E400" s="4">
        <v>6</v>
      </c>
      <c r="F400" s="20">
        <f>Table_supermarket_sales___Sheet13[[#This Row],[Selling Price]]-Table_supermarket_sales___Sheet13[[#This Row],[Cost Price]]</f>
        <v>12.317999999999998</v>
      </c>
    </row>
    <row r="401" spans="1:6" x14ac:dyDescent="0.35">
      <c r="A401" s="3" t="s">
        <v>2</v>
      </c>
      <c r="B401" s="27">
        <v>19.239999999999998</v>
      </c>
      <c r="C401" s="1">
        <v>9</v>
      </c>
      <c r="D401" s="31">
        <f>Table_supermarket_sales___Sheet1[[#This Row],[Cost Price]]+Table57[[#This Row],[Markup Cost]]</f>
        <v>27.897999999999996</v>
      </c>
      <c r="E401" s="1">
        <v>9</v>
      </c>
      <c r="F401" s="20">
        <f>Table_supermarket_sales___Sheet13[[#This Row],[Selling Price]]-Table_supermarket_sales___Sheet13[[#This Row],[Cost Price]]</f>
        <v>8.6579999999999977</v>
      </c>
    </row>
    <row r="402" spans="1:6" x14ac:dyDescent="0.35">
      <c r="A402" s="3" t="s">
        <v>5</v>
      </c>
      <c r="B402" s="27">
        <v>39.43</v>
      </c>
      <c r="C402" s="1">
        <v>6</v>
      </c>
      <c r="D402" s="31">
        <f>Table_supermarket_sales___Sheet1[[#This Row],[Cost Price]]+Table57[[#This Row],[Markup Cost]]</f>
        <v>51.259</v>
      </c>
      <c r="E402" s="4">
        <v>6</v>
      </c>
      <c r="F402" s="20">
        <f>Table_supermarket_sales___Sheet13[[#This Row],[Selling Price]]-Table_supermarket_sales___Sheet13[[#This Row],[Cost Price]]</f>
        <v>11.829000000000001</v>
      </c>
    </row>
    <row r="403" spans="1:6" x14ac:dyDescent="0.35">
      <c r="A403" s="3" t="s">
        <v>3</v>
      </c>
      <c r="B403" s="27">
        <v>46.22</v>
      </c>
      <c r="C403" s="1">
        <v>4</v>
      </c>
      <c r="D403" s="31">
        <f>Table_supermarket_sales___Sheet1[[#This Row],[Cost Price]]+Table57[[#This Row],[Markup Cost]]</f>
        <v>55.463999999999999</v>
      </c>
      <c r="E403" s="1">
        <v>4</v>
      </c>
      <c r="F403" s="20">
        <f>Table_supermarket_sales___Sheet13[[#This Row],[Selling Price]]-Table_supermarket_sales___Sheet13[[#This Row],[Cost Price]]</f>
        <v>9.2439999999999998</v>
      </c>
    </row>
    <row r="404" spans="1:6" x14ac:dyDescent="0.35">
      <c r="A404" s="3" t="s">
        <v>3</v>
      </c>
      <c r="B404" s="27">
        <v>13.98</v>
      </c>
      <c r="C404" s="1">
        <v>1</v>
      </c>
      <c r="D404" s="31">
        <f>Table_supermarket_sales___Sheet1[[#This Row],[Cost Price]]+Table57[[#This Row],[Markup Cost]]</f>
        <v>14.679</v>
      </c>
      <c r="E404" s="4">
        <v>1</v>
      </c>
      <c r="F404" s="20">
        <f>Table_supermarket_sales___Sheet13[[#This Row],[Selling Price]]-Table_supermarket_sales___Sheet13[[#This Row],[Cost Price]]</f>
        <v>0.69899999999999984</v>
      </c>
    </row>
    <row r="405" spans="1:6" x14ac:dyDescent="0.35">
      <c r="A405" s="3" t="s">
        <v>6</v>
      </c>
      <c r="B405" s="27">
        <v>39.75</v>
      </c>
      <c r="C405" s="1">
        <v>5</v>
      </c>
      <c r="D405" s="31">
        <f>Table_supermarket_sales___Sheet1[[#This Row],[Cost Price]]+Table57[[#This Row],[Markup Cost]]</f>
        <v>49.6875</v>
      </c>
      <c r="E405" s="1">
        <v>5</v>
      </c>
      <c r="F405" s="20">
        <f>Table_supermarket_sales___Sheet13[[#This Row],[Selling Price]]-Table_supermarket_sales___Sheet13[[#This Row],[Cost Price]]</f>
        <v>9.9375</v>
      </c>
    </row>
    <row r="406" spans="1:6" x14ac:dyDescent="0.35">
      <c r="A406" s="3" t="s">
        <v>6</v>
      </c>
      <c r="B406" s="27">
        <v>97.79</v>
      </c>
      <c r="C406" s="1">
        <v>7</v>
      </c>
      <c r="D406" s="31">
        <f>Table_supermarket_sales___Sheet1[[#This Row],[Cost Price]]+Table57[[#This Row],[Markup Cost]]</f>
        <v>132.01650000000001</v>
      </c>
      <c r="E406" s="4">
        <v>7</v>
      </c>
      <c r="F406" s="20">
        <f>Table_supermarket_sales___Sheet13[[#This Row],[Selling Price]]-Table_supermarket_sales___Sheet13[[#This Row],[Cost Price]]</f>
        <v>34.226500000000001</v>
      </c>
    </row>
    <row r="407" spans="1:6" x14ac:dyDescent="0.35">
      <c r="A407" s="3" t="s">
        <v>4</v>
      </c>
      <c r="B407" s="27">
        <v>67.260000000000005</v>
      </c>
      <c r="C407" s="1">
        <v>4</v>
      </c>
      <c r="D407" s="31">
        <f>Table_supermarket_sales___Sheet1[[#This Row],[Cost Price]]+Table57[[#This Row],[Markup Cost]]</f>
        <v>80.712000000000003</v>
      </c>
      <c r="E407" s="1">
        <v>4</v>
      </c>
      <c r="F407" s="20">
        <f>Table_supermarket_sales___Sheet13[[#This Row],[Selling Price]]-Table_supermarket_sales___Sheet13[[#This Row],[Cost Price]]</f>
        <v>13.451999999999998</v>
      </c>
    </row>
    <row r="408" spans="1:6" x14ac:dyDescent="0.35">
      <c r="A408" s="3" t="s">
        <v>5</v>
      </c>
      <c r="B408" s="27">
        <v>13.79</v>
      </c>
      <c r="C408" s="1">
        <v>5</v>
      </c>
      <c r="D408" s="31">
        <f>Table_supermarket_sales___Sheet1[[#This Row],[Cost Price]]+Table57[[#This Row],[Markup Cost]]</f>
        <v>17.237499999999997</v>
      </c>
      <c r="E408" s="4">
        <v>5</v>
      </c>
      <c r="F408" s="20">
        <f>Table_supermarket_sales___Sheet13[[#This Row],[Selling Price]]-Table_supermarket_sales___Sheet13[[#This Row],[Cost Price]]</f>
        <v>3.447499999999998</v>
      </c>
    </row>
    <row r="409" spans="1:6" x14ac:dyDescent="0.35">
      <c r="A409" s="3" t="s">
        <v>6</v>
      </c>
      <c r="B409" s="27">
        <v>68.709999999999994</v>
      </c>
      <c r="C409" s="1">
        <v>4</v>
      </c>
      <c r="D409" s="31">
        <f>Table_supermarket_sales___Sheet1[[#This Row],[Cost Price]]+Table57[[#This Row],[Markup Cost]]</f>
        <v>82.451999999999998</v>
      </c>
      <c r="E409" s="1">
        <v>4</v>
      </c>
      <c r="F409" s="20">
        <f>Table_supermarket_sales___Sheet13[[#This Row],[Selling Price]]-Table_supermarket_sales___Sheet13[[#This Row],[Cost Price]]</f>
        <v>13.742000000000004</v>
      </c>
    </row>
    <row r="410" spans="1:6" x14ac:dyDescent="0.35">
      <c r="A410" s="3" t="s">
        <v>3</v>
      </c>
      <c r="B410" s="27">
        <v>56.53</v>
      </c>
      <c r="C410" s="1">
        <v>4</v>
      </c>
      <c r="D410" s="31">
        <f>Table_supermarket_sales___Sheet1[[#This Row],[Cost Price]]+Table57[[#This Row],[Markup Cost]]</f>
        <v>67.835999999999999</v>
      </c>
      <c r="E410" s="4">
        <v>4</v>
      </c>
      <c r="F410" s="20">
        <f>Table_supermarket_sales___Sheet13[[#This Row],[Selling Price]]-Table_supermarket_sales___Sheet13[[#This Row],[Cost Price]]</f>
        <v>11.305999999999997</v>
      </c>
    </row>
    <row r="411" spans="1:6" x14ac:dyDescent="0.35">
      <c r="A411" s="3" t="s">
        <v>6</v>
      </c>
      <c r="B411" s="27">
        <v>23.82</v>
      </c>
      <c r="C411" s="1">
        <v>5</v>
      </c>
      <c r="D411" s="31">
        <f>Table_supermarket_sales___Sheet1[[#This Row],[Cost Price]]+Table57[[#This Row],[Markup Cost]]</f>
        <v>29.774999999999999</v>
      </c>
      <c r="E411" s="1">
        <v>5</v>
      </c>
      <c r="F411" s="20">
        <f>Table_supermarket_sales___Sheet13[[#This Row],[Selling Price]]-Table_supermarket_sales___Sheet13[[#This Row],[Cost Price]]</f>
        <v>5.9549999999999983</v>
      </c>
    </row>
    <row r="412" spans="1:6" x14ac:dyDescent="0.35">
      <c r="A412" s="3" t="s">
        <v>1</v>
      </c>
      <c r="B412" s="27">
        <v>34.21</v>
      </c>
      <c r="C412" s="1">
        <v>10</v>
      </c>
      <c r="D412" s="31">
        <f>Table_supermarket_sales___Sheet1[[#This Row],[Cost Price]]+Table57[[#This Row],[Markup Cost]]</f>
        <v>51.314999999999998</v>
      </c>
      <c r="E412" s="4">
        <v>10</v>
      </c>
      <c r="F412" s="20">
        <f>Table_supermarket_sales___Sheet13[[#This Row],[Selling Price]]-Table_supermarket_sales___Sheet13[[#This Row],[Cost Price]]</f>
        <v>17.104999999999997</v>
      </c>
    </row>
    <row r="413" spans="1:6" x14ac:dyDescent="0.35">
      <c r="A413" s="3" t="s">
        <v>4</v>
      </c>
      <c r="B413" s="27">
        <v>21.87</v>
      </c>
      <c r="C413" s="1">
        <v>2</v>
      </c>
      <c r="D413" s="31">
        <f>Table_supermarket_sales___Sheet1[[#This Row],[Cost Price]]+Table57[[#This Row],[Markup Cost]]</f>
        <v>24.057000000000002</v>
      </c>
      <c r="E413" s="1">
        <v>2</v>
      </c>
      <c r="F413" s="20">
        <f>Table_supermarket_sales___Sheet13[[#This Row],[Selling Price]]-Table_supermarket_sales___Sheet13[[#This Row],[Cost Price]]</f>
        <v>2.1870000000000012</v>
      </c>
    </row>
    <row r="414" spans="1:6" x14ac:dyDescent="0.35">
      <c r="A414" s="3" t="s">
        <v>1</v>
      </c>
      <c r="B414" s="27">
        <v>20.97</v>
      </c>
      <c r="C414" s="1">
        <v>5</v>
      </c>
      <c r="D414" s="31">
        <f>Table_supermarket_sales___Sheet1[[#This Row],[Cost Price]]+Table57[[#This Row],[Markup Cost]]</f>
        <v>26.212499999999999</v>
      </c>
      <c r="E414" s="4">
        <v>5</v>
      </c>
      <c r="F414" s="20">
        <f>Table_supermarket_sales___Sheet13[[#This Row],[Selling Price]]-Table_supermarket_sales___Sheet13[[#This Row],[Cost Price]]</f>
        <v>5.2424999999999997</v>
      </c>
    </row>
    <row r="415" spans="1:6" x14ac:dyDescent="0.35">
      <c r="A415" s="3" t="s">
        <v>4</v>
      </c>
      <c r="B415" s="27">
        <v>25.84</v>
      </c>
      <c r="C415" s="1">
        <v>3</v>
      </c>
      <c r="D415" s="31">
        <f>Table_supermarket_sales___Sheet1[[#This Row],[Cost Price]]+Table57[[#This Row],[Markup Cost]]</f>
        <v>29.716000000000001</v>
      </c>
      <c r="E415" s="1">
        <v>3</v>
      </c>
      <c r="F415" s="20">
        <f>Table_supermarket_sales___Sheet13[[#This Row],[Selling Price]]-Table_supermarket_sales___Sheet13[[#This Row],[Cost Price]]</f>
        <v>3.8760000000000012</v>
      </c>
    </row>
    <row r="416" spans="1:6" x14ac:dyDescent="0.35">
      <c r="A416" s="3" t="s">
        <v>3</v>
      </c>
      <c r="B416" s="27">
        <v>50.93</v>
      </c>
      <c r="C416" s="1">
        <v>8</v>
      </c>
      <c r="D416" s="31">
        <f>Table_supermarket_sales___Sheet1[[#This Row],[Cost Price]]+Table57[[#This Row],[Markup Cost]]</f>
        <v>71.301999999999992</v>
      </c>
      <c r="E416" s="4">
        <v>8</v>
      </c>
      <c r="F416" s="20">
        <f>Table_supermarket_sales___Sheet13[[#This Row],[Selling Price]]-Table_supermarket_sales___Sheet13[[#This Row],[Cost Price]]</f>
        <v>20.371999999999993</v>
      </c>
    </row>
    <row r="417" spans="1:6" x14ac:dyDescent="0.35">
      <c r="A417" s="3" t="s">
        <v>1</v>
      </c>
      <c r="B417" s="27">
        <v>96.11</v>
      </c>
      <c r="C417" s="1">
        <v>1</v>
      </c>
      <c r="D417" s="31">
        <f>Table_supermarket_sales___Sheet1[[#This Row],[Cost Price]]+Table57[[#This Row],[Markup Cost]]</f>
        <v>100.91549999999999</v>
      </c>
      <c r="E417" s="1">
        <v>1</v>
      </c>
      <c r="F417" s="20">
        <f>Table_supermarket_sales___Sheet13[[#This Row],[Selling Price]]-Table_supermarket_sales___Sheet13[[#This Row],[Cost Price]]</f>
        <v>4.805499999999995</v>
      </c>
    </row>
    <row r="418" spans="1:6" x14ac:dyDescent="0.35">
      <c r="A418" s="3" t="s">
        <v>3</v>
      </c>
      <c r="B418" s="27">
        <v>45.38</v>
      </c>
      <c r="C418" s="1">
        <v>4</v>
      </c>
      <c r="D418" s="31">
        <f>Table_supermarket_sales___Sheet1[[#This Row],[Cost Price]]+Table57[[#This Row],[Markup Cost]]</f>
        <v>54.456000000000003</v>
      </c>
      <c r="E418" s="4">
        <v>4</v>
      </c>
      <c r="F418" s="20">
        <f>Table_supermarket_sales___Sheet13[[#This Row],[Selling Price]]-Table_supermarket_sales___Sheet13[[#This Row],[Cost Price]]</f>
        <v>9.0760000000000005</v>
      </c>
    </row>
    <row r="419" spans="1:6" x14ac:dyDescent="0.35">
      <c r="A419" s="3" t="s">
        <v>1</v>
      </c>
      <c r="B419" s="27">
        <v>81.510000000000005</v>
      </c>
      <c r="C419" s="1">
        <v>1</v>
      </c>
      <c r="D419" s="31">
        <f>Table_supermarket_sales___Sheet1[[#This Row],[Cost Price]]+Table57[[#This Row],[Markup Cost]]</f>
        <v>85.58550000000001</v>
      </c>
      <c r="E419" s="1">
        <v>1</v>
      </c>
      <c r="F419" s="20">
        <f>Table_supermarket_sales___Sheet13[[#This Row],[Selling Price]]-Table_supermarket_sales___Sheet13[[#This Row],[Cost Price]]</f>
        <v>4.0755000000000052</v>
      </c>
    </row>
    <row r="420" spans="1:6" x14ac:dyDescent="0.35">
      <c r="A420" s="3" t="s">
        <v>1</v>
      </c>
      <c r="B420" s="27">
        <v>57.22</v>
      </c>
      <c r="C420" s="1">
        <v>2</v>
      </c>
      <c r="D420" s="31">
        <f>Table_supermarket_sales___Sheet1[[#This Row],[Cost Price]]+Table57[[#This Row],[Markup Cost]]</f>
        <v>62.942</v>
      </c>
      <c r="E420" s="4">
        <v>2</v>
      </c>
      <c r="F420" s="20">
        <f>Table_supermarket_sales___Sheet13[[#This Row],[Selling Price]]-Table_supermarket_sales___Sheet13[[#This Row],[Cost Price]]</f>
        <v>5.7220000000000013</v>
      </c>
    </row>
    <row r="421" spans="1:6" x14ac:dyDescent="0.35">
      <c r="A421" s="3" t="s">
        <v>2</v>
      </c>
      <c r="B421" s="27">
        <v>25.22</v>
      </c>
      <c r="C421" s="1">
        <v>7</v>
      </c>
      <c r="D421" s="31">
        <f>Table_supermarket_sales___Sheet1[[#This Row],[Cost Price]]+Table57[[#This Row],[Markup Cost]]</f>
        <v>34.046999999999997</v>
      </c>
      <c r="E421" s="1">
        <v>7</v>
      </c>
      <c r="F421" s="20">
        <f>Table_supermarket_sales___Sheet13[[#This Row],[Selling Price]]-Table_supermarket_sales___Sheet13[[#This Row],[Cost Price]]</f>
        <v>8.8269999999999982</v>
      </c>
    </row>
    <row r="422" spans="1:6" x14ac:dyDescent="0.35">
      <c r="A422" s="3" t="s">
        <v>5</v>
      </c>
      <c r="B422" s="27">
        <v>38.6</v>
      </c>
      <c r="C422" s="1">
        <v>3</v>
      </c>
      <c r="D422" s="31">
        <f>Table_supermarket_sales___Sheet1[[#This Row],[Cost Price]]+Table57[[#This Row],[Markup Cost]]</f>
        <v>44.39</v>
      </c>
      <c r="E422" s="4">
        <v>3</v>
      </c>
      <c r="F422" s="20">
        <f>Table_supermarket_sales___Sheet13[[#This Row],[Selling Price]]-Table_supermarket_sales___Sheet13[[#This Row],[Cost Price]]</f>
        <v>5.7899999999999991</v>
      </c>
    </row>
    <row r="423" spans="1:6" x14ac:dyDescent="0.35">
      <c r="A423" s="3" t="s">
        <v>2</v>
      </c>
      <c r="B423" s="27">
        <v>84.05</v>
      </c>
      <c r="C423" s="1">
        <v>3</v>
      </c>
      <c r="D423" s="31">
        <f>Table_supermarket_sales___Sheet1[[#This Row],[Cost Price]]+Table57[[#This Row],[Markup Cost]]</f>
        <v>96.657499999999999</v>
      </c>
      <c r="E423" s="1">
        <v>3</v>
      </c>
      <c r="F423" s="20">
        <f>Table_supermarket_sales___Sheet13[[#This Row],[Selling Price]]-Table_supermarket_sales___Sheet13[[#This Row],[Cost Price]]</f>
        <v>12.607500000000002</v>
      </c>
    </row>
    <row r="424" spans="1:6" x14ac:dyDescent="0.35">
      <c r="A424" s="3" t="s">
        <v>6</v>
      </c>
      <c r="B424" s="27">
        <v>97.21</v>
      </c>
      <c r="C424" s="1">
        <v>10</v>
      </c>
      <c r="D424" s="31">
        <f>Table_supermarket_sales___Sheet1[[#This Row],[Cost Price]]+Table57[[#This Row],[Markup Cost]]</f>
        <v>145.815</v>
      </c>
      <c r="E424" s="4">
        <v>10</v>
      </c>
      <c r="F424" s="20">
        <f>Table_supermarket_sales___Sheet13[[#This Row],[Selling Price]]-Table_supermarket_sales___Sheet13[[#This Row],[Cost Price]]</f>
        <v>48.605000000000004</v>
      </c>
    </row>
    <row r="425" spans="1:6" x14ac:dyDescent="0.35">
      <c r="A425" s="3" t="s">
        <v>6</v>
      </c>
      <c r="B425" s="27">
        <v>25.42</v>
      </c>
      <c r="C425" s="1">
        <v>8</v>
      </c>
      <c r="D425" s="31">
        <f>Table_supermarket_sales___Sheet1[[#This Row],[Cost Price]]+Table57[[#This Row],[Markup Cost]]</f>
        <v>35.588000000000001</v>
      </c>
      <c r="E425" s="1">
        <v>8</v>
      </c>
      <c r="F425" s="20">
        <f>Table_supermarket_sales___Sheet13[[#This Row],[Selling Price]]-Table_supermarket_sales___Sheet13[[#This Row],[Cost Price]]</f>
        <v>10.167999999999999</v>
      </c>
    </row>
    <row r="426" spans="1:6" x14ac:dyDescent="0.35">
      <c r="A426" s="3" t="s">
        <v>6</v>
      </c>
      <c r="B426" s="27">
        <v>16.28</v>
      </c>
      <c r="C426" s="1">
        <v>1</v>
      </c>
      <c r="D426" s="31">
        <f>Table_supermarket_sales___Sheet1[[#This Row],[Cost Price]]+Table57[[#This Row],[Markup Cost]]</f>
        <v>17.094000000000001</v>
      </c>
      <c r="E426" s="4">
        <v>1</v>
      </c>
      <c r="F426" s="20">
        <f>Table_supermarket_sales___Sheet13[[#This Row],[Selling Price]]-Table_supermarket_sales___Sheet13[[#This Row],[Cost Price]]</f>
        <v>0.81400000000000006</v>
      </c>
    </row>
    <row r="427" spans="1:6" x14ac:dyDescent="0.35">
      <c r="A427" s="3" t="s">
        <v>6</v>
      </c>
      <c r="B427" s="27">
        <v>40.61</v>
      </c>
      <c r="C427" s="1">
        <v>9</v>
      </c>
      <c r="D427" s="31">
        <f>Table_supermarket_sales___Sheet1[[#This Row],[Cost Price]]+Table57[[#This Row],[Markup Cost]]</f>
        <v>58.884500000000003</v>
      </c>
      <c r="E427" s="1">
        <v>9</v>
      </c>
      <c r="F427" s="20">
        <f>Table_supermarket_sales___Sheet13[[#This Row],[Selling Price]]-Table_supermarket_sales___Sheet13[[#This Row],[Cost Price]]</f>
        <v>18.274500000000003</v>
      </c>
    </row>
    <row r="428" spans="1:6" x14ac:dyDescent="0.35">
      <c r="A428" s="3" t="s">
        <v>1</v>
      </c>
      <c r="B428" s="27">
        <v>53.17</v>
      </c>
      <c r="C428" s="1">
        <v>7</v>
      </c>
      <c r="D428" s="31">
        <f>Table_supermarket_sales___Sheet1[[#This Row],[Cost Price]]+Table57[[#This Row],[Markup Cost]]</f>
        <v>71.779499999999999</v>
      </c>
      <c r="E428" s="4">
        <v>7</v>
      </c>
      <c r="F428" s="20">
        <f>Table_supermarket_sales___Sheet13[[#This Row],[Selling Price]]-Table_supermarket_sales___Sheet13[[#This Row],[Cost Price]]</f>
        <v>18.609499999999997</v>
      </c>
    </row>
    <row r="429" spans="1:6" x14ac:dyDescent="0.35">
      <c r="A429" s="3" t="s">
        <v>5</v>
      </c>
      <c r="B429" s="27">
        <v>20.87</v>
      </c>
      <c r="C429" s="1">
        <v>3</v>
      </c>
      <c r="D429" s="31">
        <f>Table_supermarket_sales___Sheet1[[#This Row],[Cost Price]]+Table57[[#This Row],[Markup Cost]]</f>
        <v>24.000500000000002</v>
      </c>
      <c r="E429" s="1">
        <v>3</v>
      </c>
      <c r="F429" s="20">
        <f>Table_supermarket_sales___Sheet13[[#This Row],[Selling Price]]-Table_supermarket_sales___Sheet13[[#This Row],[Cost Price]]</f>
        <v>3.1305000000000014</v>
      </c>
    </row>
    <row r="430" spans="1:6" x14ac:dyDescent="0.35">
      <c r="A430" s="3" t="s">
        <v>4</v>
      </c>
      <c r="B430" s="27">
        <v>67.27</v>
      </c>
      <c r="C430" s="1">
        <v>5</v>
      </c>
      <c r="D430" s="31">
        <f>Table_supermarket_sales___Sheet1[[#This Row],[Cost Price]]+Table57[[#This Row],[Markup Cost]]</f>
        <v>84.087499999999991</v>
      </c>
      <c r="E430" s="4">
        <v>5</v>
      </c>
      <c r="F430" s="20">
        <f>Table_supermarket_sales___Sheet13[[#This Row],[Selling Price]]-Table_supermarket_sales___Sheet13[[#This Row],[Cost Price]]</f>
        <v>16.817499999999995</v>
      </c>
    </row>
    <row r="431" spans="1:6" x14ac:dyDescent="0.35">
      <c r="A431" s="3" t="s">
        <v>3</v>
      </c>
      <c r="B431" s="27">
        <v>90.65</v>
      </c>
      <c r="C431" s="1">
        <v>10</v>
      </c>
      <c r="D431" s="31">
        <f>Table_supermarket_sales___Sheet1[[#This Row],[Cost Price]]+Table57[[#This Row],[Markup Cost]]</f>
        <v>135.97500000000002</v>
      </c>
      <c r="E431" s="1">
        <v>10</v>
      </c>
      <c r="F431" s="20">
        <f>Table_supermarket_sales___Sheet13[[#This Row],[Selling Price]]-Table_supermarket_sales___Sheet13[[#This Row],[Cost Price]]</f>
        <v>45.325000000000017</v>
      </c>
    </row>
    <row r="432" spans="1:6" x14ac:dyDescent="0.35">
      <c r="A432" s="3" t="s">
        <v>6</v>
      </c>
      <c r="B432" s="27">
        <v>69.08</v>
      </c>
      <c r="C432" s="1">
        <v>2</v>
      </c>
      <c r="D432" s="31">
        <f>Table_supermarket_sales___Sheet1[[#This Row],[Cost Price]]+Table57[[#This Row],[Markup Cost]]</f>
        <v>75.988</v>
      </c>
      <c r="E432" s="4">
        <v>2</v>
      </c>
      <c r="F432" s="20">
        <f>Table_supermarket_sales___Sheet13[[#This Row],[Selling Price]]-Table_supermarket_sales___Sheet13[[#This Row],[Cost Price]]</f>
        <v>6.9080000000000013</v>
      </c>
    </row>
    <row r="433" spans="1:6" x14ac:dyDescent="0.35">
      <c r="A433" s="3" t="s">
        <v>5</v>
      </c>
      <c r="B433" s="27">
        <v>43.27</v>
      </c>
      <c r="C433" s="1">
        <v>2</v>
      </c>
      <c r="D433" s="31">
        <f>Table_supermarket_sales___Sheet1[[#This Row],[Cost Price]]+Table57[[#This Row],[Markup Cost]]</f>
        <v>47.597000000000001</v>
      </c>
      <c r="E433" s="1">
        <v>2</v>
      </c>
      <c r="F433" s="20">
        <f>Table_supermarket_sales___Sheet13[[#This Row],[Selling Price]]-Table_supermarket_sales___Sheet13[[#This Row],[Cost Price]]</f>
        <v>4.3269999999999982</v>
      </c>
    </row>
    <row r="434" spans="1:6" x14ac:dyDescent="0.35">
      <c r="A434" s="3" t="s">
        <v>2</v>
      </c>
      <c r="B434" s="27">
        <v>23.46</v>
      </c>
      <c r="C434" s="1">
        <v>6</v>
      </c>
      <c r="D434" s="31">
        <f>Table_supermarket_sales___Sheet1[[#This Row],[Cost Price]]+Table57[[#This Row],[Markup Cost]]</f>
        <v>30.498000000000001</v>
      </c>
      <c r="E434" s="4">
        <v>6</v>
      </c>
      <c r="F434" s="20">
        <f>Table_supermarket_sales___Sheet13[[#This Row],[Selling Price]]-Table_supermarket_sales___Sheet13[[#This Row],[Cost Price]]</f>
        <v>7.0380000000000003</v>
      </c>
    </row>
    <row r="435" spans="1:6" x14ac:dyDescent="0.35">
      <c r="A435" s="3" t="s">
        <v>6</v>
      </c>
      <c r="B435" s="27">
        <v>95.54</v>
      </c>
      <c r="C435" s="1">
        <v>7</v>
      </c>
      <c r="D435" s="31">
        <f>Table_supermarket_sales___Sheet1[[#This Row],[Cost Price]]+Table57[[#This Row],[Markup Cost]]</f>
        <v>128.97900000000001</v>
      </c>
      <c r="E435" s="1">
        <v>7</v>
      </c>
      <c r="F435" s="20">
        <f>Table_supermarket_sales___Sheet13[[#This Row],[Selling Price]]-Table_supermarket_sales___Sheet13[[#This Row],[Cost Price]]</f>
        <v>33.439000000000007</v>
      </c>
    </row>
    <row r="436" spans="1:6" x14ac:dyDescent="0.35">
      <c r="A436" s="3" t="s">
        <v>6</v>
      </c>
      <c r="B436" s="27">
        <v>47.44</v>
      </c>
      <c r="C436" s="1">
        <v>1</v>
      </c>
      <c r="D436" s="31">
        <f>Table_supermarket_sales___Sheet1[[#This Row],[Cost Price]]+Table57[[#This Row],[Markup Cost]]</f>
        <v>49.811999999999998</v>
      </c>
      <c r="E436" s="4">
        <v>1</v>
      </c>
      <c r="F436" s="20">
        <f>Table_supermarket_sales___Sheet13[[#This Row],[Selling Price]]-Table_supermarket_sales___Sheet13[[#This Row],[Cost Price]]</f>
        <v>2.3719999999999999</v>
      </c>
    </row>
    <row r="437" spans="1:6" x14ac:dyDescent="0.35">
      <c r="A437" s="3" t="s">
        <v>4</v>
      </c>
      <c r="B437" s="27">
        <v>99.24</v>
      </c>
      <c r="C437" s="1">
        <v>9</v>
      </c>
      <c r="D437" s="31">
        <f>Table_supermarket_sales___Sheet1[[#This Row],[Cost Price]]+Table57[[#This Row],[Markup Cost]]</f>
        <v>143.898</v>
      </c>
      <c r="E437" s="1">
        <v>9</v>
      </c>
      <c r="F437" s="20">
        <f>Table_supermarket_sales___Sheet13[[#This Row],[Selling Price]]-Table_supermarket_sales___Sheet13[[#This Row],[Cost Price]]</f>
        <v>44.658000000000001</v>
      </c>
    </row>
    <row r="438" spans="1:6" x14ac:dyDescent="0.35">
      <c r="A438" s="3" t="s">
        <v>4</v>
      </c>
      <c r="B438" s="27">
        <v>82.93</v>
      </c>
      <c r="C438" s="1">
        <v>4</v>
      </c>
      <c r="D438" s="31">
        <f>Table_supermarket_sales___Sheet1[[#This Row],[Cost Price]]+Table57[[#This Row],[Markup Cost]]</f>
        <v>99.516000000000005</v>
      </c>
      <c r="E438" s="4">
        <v>4</v>
      </c>
      <c r="F438" s="20">
        <f>Table_supermarket_sales___Sheet13[[#This Row],[Selling Price]]-Table_supermarket_sales___Sheet13[[#This Row],[Cost Price]]</f>
        <v>16.585999999999999</v>
      </c>
    </row>
    <row r="439" spans="1:6" x14ac:dyDescent="0.35">
      <c r="A439" s="3" t="s">
        <v>3</v>
      </c>
      <c r="B439" s="27">
        <v>33.99</v>
      </c>
      <c r="C439" s="1">
        <v>6</v>
      </c>
      <c r="D439" s="31">
        <f>Table_supermarket_sales___Sheet1[[#This Row],[Cost Price]]+Table57[[#This Row],[Markup Cost]]</f>
        <v>44.186999999999998</v>
      </c>
      <c r="E439" s="1">
        <v>6</v>
      </c>
      <c r="F439" s="20">
        <f>Table_supermarket_sales___Sheet13[[#This Row],[Selling Price]]-Table_supermarket_sales___Sheet13[[#This Row],[Cost Price]]</f>
        <v>10.196999999999996</v>
      </c>
    </row>
    <row r="440" spans="1:6" x14ac:dyDescent="0.35">
      <c r="A440" s="3" t="s">
        <v>5</v>
      </c>
      <c r="B440" s="27">
        <v>17.04</v>
      </c>
      <c r="C440" s="1">
        <v>4</v>
      </c>
      <c r="D440" s="31">
        <f>Table_supermarket_sales___Sheet1[[#This Row],[Cost Price]]+Table57[[#This Row],[Markup Cost]]</f>
        <v>20.448</v>
      </c>
      <c r="E440" s="4">
        <v>4</v>
      </c>
      <c r="F440" s="20">
        <f>Table_supermarket_sales___Sheet13[[#This Row],[Selling Price]]-Table_supermarket_sales___Sheet13[[#This Row],[Cost Price]]</f>
        <v>3.4080000000000013</v>
      </c>
    </row>
    <row r="441" spans="1:6" x14ac:dyDescent="0.35">
      <c r="A441" s="3" t="s">
        <v>2</v>
      </c>
      <c r="B441" s="27">
        <v>40.86</v>
      </c>
      <c r="C441" s="1">
        <v>8</v>
      </c>
      <c r="D441" s="31">
        <f>Table_supermarket_sales___Sheet1[[#This Row],[Cost Price]]+Table57[[#This Row],[Markup Cost]]</f>
        <v>57.204000000000001</v>
      </c>
      <c r="E441" s="1">
        <v>8</v>
      </c>
      <c r="F441" s="20">
        <f>Table_supermarket_sales___Sheet13[[#This Row],[Selling Price]]-Table_supermarket_sales___Sheet13[[#This Row],[Cost Price]]</f>
        <v>16.344000000000001</v>
      </c>
    </row>
    <row r="442" spans="1:6" x14ac:dyDescent="0.35">
      <c r="A442" s="3" t="s">
        <v>5</v>
      </c>
      <c r="B442" s="27">
        <v>17.440000000000001</v>
      </c>
      <c r="C442" s="1">
        <v>5</v>
      </c>
      <c r="D442" s="31">
        <f>Table_supermarket_sales___Sheet1[[#This Row],[Cost Price]]+Table57[[#This Row],[Markup Cost]]</f>
        <v>21.8</v>
      </c>
      <c r="E442" s="4">
        <v>5</v>
      </c>
      <c r="F442" s="20">
        <f>Table_supermarket_sales___Sheet13[[#This Row],[Selling Price]]-Table_supermarket_sales___Sheet13[[#This Row],[Cost Price]]</f>
        <v>4.3599999999999994</v>
      </c>
    </row>
    <row r="443" spans="1:6" x14ac:dyDescent="0.35">
      <c r="A443" s="3" t="s">
        <v>4</v>
      </c>
      <c r="B443" s="27">
        <v>88.43</v>
      </c>
      <c r="C443" s="1">
        <v>8</v>
      </c>
      <c r="D443" s="31">
        <f>Table_supermarket_sales___Sheet1[[#This Row],[Cost Price]]+Table57[[#This Row],[Markup Cost]]</f>
        <v>123.80200000000001</v>
      </c>
      <c r="E443" s="1">
        <v>8</v>
      </c>
      <c r="F443" s="20">
        <f>Table_supermarket_sales___Sheet13[[#This Row],[Selling Price]]-Table_supermarket_sales___Sheet13[[#This Row],[Cost Price]]</f>
        <v>35.372</v>
      </c>
    </row>
    <row r="444" spans="1:6" x14ac:dyDescent="0.35">
      <c r="A444" s="3" t="s">
        <v>3</v>
      </c>
      <c r="B444" s="27">
        <v>89.21</v>
      </c>
      <c r="C444" s="1">
        <v>9</v>
      </c>
      <c r="D444" s="31">
        <f>Table_supermarket_sales___Sheet1[[#This Row],[Cost Price]]+Table57[[#This Row],[Markup Cost]]</f>
        <v>129.3545</v>
      </c>
      <c r="E444" s="4">
        <v>9</v>
      </c>
      <c r="F444" s="20">
        <f>Table_supermarket_sales___Sheet13[[#This Row],[Selling Price]]-Table_supermarket_sales___Sheet13[[#This Row],[Cost Price]]</f>
        <v>40.144500000000008</v>
      </c>
    </row>
    <row r="445" spans="1:6" x14ac:dyDescent="0.35">
      <c r="A445" s="3" t="s">
        <v>6</v>
      </c>
      <c r="B445" s="27">
        <v>12.78</v>
      </c>
      <c r="C445" s="1">
        <v>1</v>
      </c>
      <c r="D445" s="31">
        <f>Table_supermarket_sales___Sheet1[[#This Row],[Cost Price]]+Table57[[#This Row],[Markup Cost]]</f>
        <v>13.418999999999999</v>
      </c>
      <c r="E445" s="1">
        <v>1</v>
      </c>
      <c r="F445" s="20">
        <f>Table_supermarket_sales___Sheet13[[#This Row],[Selling Price]]-Table_supermarket_sales___Sheet13[[#This Row],[Cost Price]]</f>
        <v>0.63899999999999935</v>
      </c>
    </row>
    <row r="446" spans="1:6" x14ac:dyDescent="0.35">
      <c r="A446" s="3" t="s">
        <v>4</v>
      </c>
      <c r="B446" s="27">
        <v>19.100000000000001</v>
      </c>
      <c r="C446" s="1">
        <v>7</v>
      </c>
      <c r="D446" s="31">
        <f>Table_supermarket_sales___Sheet1[[#This Row],[Cost Price]]+Table57[[#This Row],[Markup Cost]]</f>
        <v>25.785</v>
      </c>
      <c r="E446" s="4">
        <v>7</v>
      </c>
      <c r="F446" s="20">
        <f>Table_supermarket_sales___Sheet13[[#This Row],[Selling Price]]-Table_supermarket_sales___Sheet13[[#This Row],[Cost Price]]</f>
        <v>6.6849999999999987</v>
      </c>
    </row>
    <row r="447" spans="1:6" x14ac:dyDescent="0.35">
      <c r="A447" s="3" t="s">
        <v>1</v>
      </c>
      <c r="B447" s="27">
        <v>19.149999999999999</v>
      </c>
      <c r="C447" s="1">
        <v>1</v>
      </c>
      <c r="D447" s="31">
        <f>Table_supermarket_sales___Sheet1[[#This Row],[Cost Price]]+Table57[[#This Row],[Markup Cost]]</f>
        <v>20.107499999999998</v>
      </c>
      <c r="E447" s="1">
        <v>1</v>
      </c>
      <c r="F447" s="20">
        <f>Table_supermarket_sales___Sheet13[[#This Row],[Selling Price]]-Table_supermarket_sales___Sheet13[[#This Row],[Cost Price]]</f>
        <v>0.95749999999999957</v>
      </c>
    </row>
    <row r="448" spans="1:6" x14ac:dyDescent="0.35">
      <c r="A448" s="3" t="s">
        <v>5</v>
      </c>
      <c r="B448" s="27">
        <v>27.66</v>
      </c>
      <c r="C448" s="1">
        <v>10</v>
      </c>
      <c r="D448" s="31">
        <f>Table_supermarket_sales___Sheet1[[#This Row],[Cost Price]]+Table57[[#This Row],[Markup Cost]]</f>
        <v>41.49</v>
      </c>
      <c r="E448" s="4">
        <v>10</v>
      </c>
      <c r="F448" s="20">
        <f>Table_supermarket_sales___Sheet13[[#This Row],[Selling Price]]-Table_supermarket_sales___Sheet13[[#This Row],[Cost Price]]</f>
        <v>13.830000000000002</v>
      </c>
    </row>
    <row r="449" spans="1:6" x14ac:dyDescent="0.35">
      <c r="A449" s="3" t="s">
        <v>6</v>
      </c>
      <c r="B449" s="27">
        <v>45.74</v>
      </c>
      <c r="C449" s="1">
        <v>3</v>
      </c>
      <c r="D449" s="31">
        <f>Table_supermarket_sales___Sheet1[[#This Row],[Cost Price]]+Table57[[#This Row],[Markup Cost]]</f>
        <v>52.600999999999999</v>
      </c>
      <c r="E449" s="1">
        <v>3</v>
      </c>
      <c r="F449" s="20">
        <f>Table_supermarket_sales___Sheet13[[#This Row],[Selling Price]]-Table_supermarket_sales___Sheet13[[#This Row],[Cost Price]]</f>
        <v>6.8609999999999971</v>
      </c>
    </row>
    <row r="450" spans="1:6" x14ac:dyDescent="0.35">
      <c r="A450" s="3" t="s">
        <v>1</v>
      </c>
      <c r="B450" s="27">
        <v>27.07</v>
      </c>
      <c r="C450" s="1">
        <v>1</v>
      </c>
      <c r="D450" s="31">
        <f>Table_supermarket_sales___Sheet1[[#This Row],[Cost Price]]+Table57[[#This Row],[Markup Cost]]</f>
        <v>28.423500000000001</v>
      </c>
      <c r="E450" s="4">
        <v>1</v>
      </c>
      <c r="F450" s="20">
        <f>Table_supermarket_sales___Sheet13[[#This Row],[Selling Price]]-Table_supermarket_sales___Sheet13[[#This Row],[Cost Price]]</f>
        <v>1.3535000000000004</v>
      </c>
    </row>
    <row r="451" spans="1:6" x14ac:dyDescent="0.35">
      <c r="A451" s="3" t="s">
        <v>4</v>
      </c>
      <c r="B451" s="27">
        <v>39.119999999999997</v>
      </c>
      <c r="C451" s="1">
        <v>1</v>
      </c>
      <c r="D451" s="31">
        <f>Table_supermarket_sales___Sheet1[[#This Row],[Cost Price]]+Table57[[#This Row],[Markup Cost]]</f>
        <v>41.076000000000001</v>
      </c>
      <c r="E451" s="1">
        <v>1</v>
      </c>
      <c r="F451" s="20">
        <f>Table_supermarket_sales___Sheet13[[#This Row],[Selling Price]]-Table_supermarket_sales___Sheet13[[#This Row],[Cost Price]]</f>
        <v>1.9560000000000031</v>
      </c>
    </row>
    <row r="452" spans="1:6" x14ac:dyDescent="0.35">
      <c r="A452" s="3" t="s">
        <v>2</v>
      </c>
      <c r="B452" s="27">
        <v>74.709999999999994</v>
      </c>
      <c r="C452" s="1">
        <v>6</v>
      </c>
      <c r="D452" s="31">
        <f>Table_supermarket_sales___Sheet1[[#This Row],[Cost Price]]+Table57[[#This Row],[Markup Cost]]</f>
        <v>97.12299999999999</v>
      </c>
      <c r="E452" s="4">
        <v>6</v>
      </c>
      <c r="F452" s="20">
        <f>Table_supermarket_sales___Sheet13[[#This Row],[Selling Price]]-Table_supermarket_sales___Sheet13[[#This Row],[Cost Price]]</f>
        <v>22.412999999999997</v>
      </c>
    </row>
    <row r="453" spans="1:6" x14ac:dyDescent="0.35">
      <c r="A453" s="3" t="s">
        <v>2</v>
      </c>
      <c r="B453" s="27">
        <v>22.01</v>
      </c>
      <c r="C453" s="1">
        <v>6</v>
      </c>
      <c r="D453" s="31">
        <f>Table_supermarket_sales___Sheet1[[#This Row],[Cost Price]]+Table57[[#This Row],[Markup Cost]]</f>
        <v>28.613</v>
      </c>
      <c r="E453" s="1">
        <v>6</v>
      </c>
      <c r="F453" s="20">
        <f>Table_supermarket_sales___Sheet13[[#This Row],[Selling Price]]-Table_supermarket_sales___Sheet13[[#This Row],[Cost Price]]</f>
        <v>6.602999999999998</v>
      </c>
    </row>
    <row r="454" spans="1:6" x14ac:dyDescent="0.35">
      <c r="A454" s="3" t="s">
        <v>5</v>
      </c>
      <c r="B454" s="27">
        <v>63.61</v>
      </c>
      <c r="C454" s="1">
        <v>5</v>
      </c>
      <c r="D454" s="31">
        <f>Table_supermarket_sales___Sheet1[[#This Row],[Cost Price]]+Table57[[#This Row],[Markup Cost]]</f>
        <v>79.512500000000003</v>
      </c>
      <c r="E454" s="4">
        <v>5</v>
      </c>
      <c r="F454" s="20">
        <f>Table_supermarket_sales___Sheet13[[#This Row],[Selling Price]]-Table_supermarket_sales___Sheet13[[#This Row],[Cost Price]]</f>
        <v>15.902500000000003</v>
      </c>
    </row>
    <row r="455" spans="1:6" x14ac:dyDescent="0.35">
      <c r="A455" s="3" t="s">
        <v>1</v>
      </c>
      <c r="B455" s="27">
        <v>25</v>
      </c>
      <c r="C455" s="1">
        <v>1</v>
      </c>
      <c r="D455" s="31">
        <f>Table_supermarket_sales___Sheet1[[#This Row],[Cost Price]]+Table57[[#This Row],[Markup Cost]]</f>
        <v>26.25</v>
      </c>
      <c r="E455" s="1">
        <v>1</v>
      </c>
      <c r="F455" s="20">
        <f>Table_supermarket_sales___Sheet13[[#This Row],[Selling Price]]-Table_supermarket_sales___Sheet13[[#This Row],[Cost Price]]</f>
        <v>1.25</v>
      </c>
    </row>
    <row r="456" spans="1:6" x14ac:dyDescent="0.35">
      <c r="A456" s="3" t="s">
        <v>2</v>
      </c>
      <c r="B456" s="27">
        <v>20.77</v>
      </c>
      <c r="C456" s="1">
        <v>4</v>
      </c>
      <c r="D456" s="31">
        <f>Table_supermarket_sales___Sheet1[[#This Row],[Cost Price]]+Table57[[#This Row],[Markup Cost]]</f>
        <v>24.923999999999999</v>
      </c>
      <c r="E456" s="4">
        <v>4</v>
      </c>
      <c r="F456" s="20">
        <f>Table_supermarket_sales___Sheet13[[#This Row],[Selling Price]]-Table_supermarket_sales___Sheet13[[#This Row],[Cost Price]]</f>
        <v>4.1539999999999999</v>
      </c>
    </row>
    <row r="457" spans="1:6" x14ac:dyDescent="0.35">
      <c r="A457" s="3" t="s">
        <v>6</v>
      </c>
      <c r="B457" s="27">
        <v>29.56</v>
      </c>
      <c r="C457" s="1">
        <v>5</v>
      </c>
      <c r="D457" s="31">
        <f>Table_supermarket_sales___Sheet1[[#This Row],[Cost Price]]+Table57[[#This Row],[Markup Cost]]</f>
        <v>36.949999999999996</v>
      </c>
      <c r="E457" s="1">
        <v>5</v>
      </c>
      <c r="F457" s="20">
        <f>Table_supermarket_sales___Sheet13[[#This Row],[Selling Price]]-Table_supermarket_sales___Sheet13[[#This Row],[Cost Price]]</f>
        <v>7.389999999999997</v>
      </c>
    </row>
    <row r="458" spans="1:6" x14ac:dyDescent="0.35">
      <c r="A458" s="3" t="s">
        <v>5</v>
      </c>
      <c r="B458" s="27">
        <v>77.400000000000006</v>
      </c>
      <c r="C458" s="1">
        <v>9</v>
      </c>
      <c r="D458" s="31">
        <f>Table_supermarket_sales___Sheet1[[#This Row],[Cost Price]]+Table57[[#This Row],[Markup Cost]]</f>
        <v>112.23</v>
      </c>
      <c r="E458" s="4">
        <v>9</v>
      </c>
      <c r="F458" s="20">
        <f>Table_supermarket_sales___Sheet13[[#This Row],[Selling Price]]-Table_supermarket_sales___Sheet13[[#This Row],[Cost Price]]</f>
        <v>34.83</v>
      </c>
    </row>
    <row r="459" spans="1:6" x14ac:dyDescent="0.35">
      <c r="A459" s="3" t="s">
        <v>2</v>
      </c>
      <c r="B459" s="27">
        <v>79.39</v>
      </c>
      <c r="C459" s="1">
        <v>10</v>
      </c>
      <c r="D459" s="31">
        <f>Table_supermarket_sales___Sheet1[[#This Row],[Cost Price]]+Table57[[#This Row],[Markup Cost]]</f>
        <v>119.08500000000001</v>
      </c>
      <c r="E459" s="1">
        <v>10</v>
      </c>
      <c r="F459" s="20">
        <f>Table_supermarket_sales___Sheet13[[#This Row],[Selling Price]]-Table_supermarket_sales___Sheet13[[#This Row],[Cost Price]]</f>
        <v>39.695000000000007</v>
      </c>
    </row>
    <row r="460" spans="1:6" x14ac:dyDescent="0.35">
      <c r="A460" s="3" t="s">
        <v>2</v>
      </c>
      <c r="B460" s="27">
        <v>46.57</v>
      </c>
      <c r="C460" s="1">
        <v>10</v>
      </c>
      <c r="D460" s="31">
        <f>Table_supermarket_sales___Sheet1[[#This Row],[Cost Price]]+Table57[[#This Row],[Markup Cost]]</f>
        <v>69.855000000000004</v>
      </c>
      <c r="E460" s="4">
        <v>10</v>
      </c>
      <c r="F460" s="20">
        <f>Table_supermarket_sales___Sheet13[[#This Row],[Selling Price]]-Table_supermarket_sales___Sheet13[[#This Row],[Cost Price]]</f>
        <v>23.285000000000004</v>
      </c>
    </row>
    <row r="461" spans="1:6" x14ac:dyDescent="0.35">
      <c r="A461" s="3" t="s">
        <v>5</v>
      </c>
      <c r="B461" s="27">
        <v>35.89</v>
      </c>
      <c r="C461" s="1">
        <v>1</v>
      </c>
      <c r="D461" s="31">
        <f>Table_supermarket_sales___Sheet1[[#This Row],[Cost Price]]+Table57[[#This Row],[Markup Cost]]</f>
        <v>37.6845</v>
      </c>
      <c r="E461" s="1">
        <v>1</v>
      </c>
      <c r="F461" s="20">
        <f>Table_supermarket_sales___Sheet13[[#This Row],[Selling Price]]-Table_supermarket_sales___Sheet13[[#This Row],[Cost Price]]</f>
        <v>1.7944999999999993</v>
      </c>
    </row>
    <row r="462" spans="1:6" x14ac:dyDescent="0.35">
      <c r="A462" s="3" t="s">
        <v>5</v>
      </c>
      <c r="B462" s="27">
        <v>40.520000000000003</v>
      </c>
      <c r="C462" s="1">
        <v>5</v>
      </c>
      <c r="D462" s="31">
        <f>Table_supermarket_sales___Sheet1[[#This Row],[Cost Price]]+Table57[[#This Row],[Markup Cost]]</f>
        <v>50.650000000000006</v>
      </c>
      <c r="E462" s="4">
        <v>5</v>
      </c>
      <c r="F462" s="20">
        <f>Table_supermarket_sales___Sheet13[[#This Row],[Selling Price]]-Table_supermarket_sales___Sheet13[[#This Row],[Cost Price]]</f>
        <v>10.130000000000003</v>
      </c>
    </row>
    <row r="463" spans="1:6" x14ac:dyDescent="0.35">
      <c r="A463" s="3" t="s">
        <v>5</v>
      </c>
      <c r="B463" s="27">
        <v>73.05</v>
      </c>
      <c r="C463" s="1">
        <v>10</v>
      </c>
      <c r="D463" s="31">
        <f>Table_supermarket_sales___Sheet1[[#This Row],[Cost Price]]+Table57[[#This Row],[Markup Cost]]</f>
        <v>109.57499999999999</v>
      </c>
      <c r="E463" s="1">
        <v>10</v>
      </c>
      <c r="F463" s="20">
        <f>Table_supermarket_sales___Sheet13[[#This Row],[Selling Price]]-Table_supermarket_sales___Sheet13[[#This Row],[Cost Price]]</f>
        <v>36.524999999999991</v>
      </c>
    </row>
    <row r="464" spans="1:6" x14ac:dyDescent="0.35">
      <c r="A464" s="3" t="s">
        <v>4</v>
      </c>
      <c r="B464" s="27">
        <v>73.95</v>
      </c>
      <c r="C464" s="1">
        <v>4</v>
      </c>
      <c r="D464" s="31">
        <f>Table_supermarket_sales___Sheet1[[#This Row],[Cost Price]]+Table57[[#This Row],[Markup Cost]]</f>
        <v>88.740000000000009</v>
      </c>
      <c r="E464" s="4">
        <v>4</v>
      </c>
      <c r="F464" s="20">
        <f>Table_supermarket_sales___Sheet13[[#This Row],[Selling Price]]-Table_supermarket_sales___Sheet13[[#This Row],[Cost Price]]</f>
        <v>14.790000000000006</v>
      </c>
    </row>
    <row r="465" spans="1:6" x14ac:dyDescent="0.35">
      <c r="A465" s="3" t="s">
        <v>5</v>
      </c>
      <c r="B465" s="27">
        <v>22.62</v>
      </c>
      <c r="C465" s="1">
        <v>1</v>
      </c>
      <c r="D465" s="31">
        <f>Table_supermarket_sales___Sheet1[[#This Row],[Cost Price]]+Table57[[#This Row],[Markup Cost]]</f>
        <v>23.751000000000001</v>
      </c>
      <c r="E465" s="1">
        <v>1</v>
      </c>
      <c r="F465" s="20">
        <f>Table_supermarket_sales___Sheet13[[#This Row],[Selling Price]]-Table_supermarket_sales___Sheet13[[#This Row],[Cost Price]]</f>
        <v>1.1310000000000002</v>
      </c>
    </row>
    <row r="466" spans="1:6" x14ac:dyDescent="0.35">
      <c r="A466" s="3" t="s">
        <v>5</v>
      </c>
      <c r="B466" s="27">
        <v>51.34</v>
      </c>
      <c r="C466" s="1">
        <v>5</v>
      </c>
      <c r="D466" s="31">
        <f>Table_supermarket_sales___Sheet1[[#This Row],[Cost Price]]+Table57[[#This Row],[Markup Cost]]</f>
        <v>64.175000000000011</v>
      </c>
      <c r="E466" s="4">
        <v>5</v>
      </c>
      <c r="F466" s="20">
        <f>Table_supermarket_sales___Sheet13[[#This Row],[Selling Price]]-Table_supermarket_sales___Sheet13[[#This Row],[Cost Price]]</f>
        <v>12.835000000000008</v>
      </c>
    </row>
    <row r="467" spans="1:6" x14ac:dyDescent="0.35">
      <c r="A467" s="3" t="s">
        <v>4</v>
      </c>
      <c r="B467" s="27">
        <v>54.55</v>
      </c>
      <c r="C467" s="1">
        <v>10</v>
      </c>
      <c r="D467" s="31">
        <f>Table_supermarket_sales___Sheet1[[#This Row],[Cost Price]]+Table57[[#This Row],[Markup Cost]]</f>
        <v>81.824999999999989</v>
      </c>
      <c r="E467" s="1">
        <v>10</v>
      </c>
      <c r="F467" s="20">
        <f>Table_supermarket_sales___Sheet13[[#This Row],[Selling Price]]-Table_supermarket_sales___Sheet13[[#This Row],[Cost Price]]</f>
        <v>27.274999999999991</v>
      </c>
    </row>
    <row r="468" spans="1:6" x14ac:dyDescent="0.35">
      <c r="A468" s="3" t="s">
        <v>1</v>
      </c>
      <c r="B468" s="27">
        <v>37.15</v>
      </c>
      <c r="C468" s="1">
        <v>7</v>
      </c>
      <c r="D468" s="31">
        <f>Table_supermarket_sales___Sheet1[[#This Row],[Cost Price]]+Table57[[#This Row],[Markup Cost]]</f>
        <v>50.152499999999996</v>
      </c>
      <c r="E468" s="4">
        <v>7</v>
      </c>
      <c r="F468" s="20">
        <f>Table_supermarket_sales___Sheet13[[#This Row],[Selling Price]]-Table_supermarket_sales___Sheet13[[#This Row],[Cost Price]]</f>
        <v>13.002499999999998</v>
      </c>
    </row>
    <row r="469" spans="1:6" x14ac:dyDescent="0.35">
      <c r="A469" s="3" t="s">
        <v>4</v>
      </c>
      <c r="B469" s="27">
        <v>37.020000000000003</v>
      </c>
      <c r="C469" s="1">
        <v>6</v>
      </c>
      <c r="D469" s="31">
        <f>Table_supermarket_sales___Sheet1[[#This Row],[Cost Price]]+Table57[[#This Row],[Markup Cost]]</f>
        <v>48.126000000000005</v>
      </c>
      <c r="E469" s="1">
        <v>6</v>
      </c>
      <c r="F469" s="20">
        <f>Table_supermarket_sales___Sheet13[[#This Row],[Selling Price]]-Table_supermarket_sales___Sheet13[[#This Row],[Cost Price]]</f>
        <v>11.106000000000002</v>
      </c>
    </row>
    <row r="470" spans="1:6" x14ac:dyDescent="0.35">
      <c r="A470" s="3" t="s">
        <v>5</v>
      </c>
      <c r="B470" s="27">
        <v>21.58</v>
      </c>
      <c r="C470" s="1">
        <v>1</v>
      </c>
      <c r="D470" s="31">
        <f>Table_supermarket_sales___Sheet1[[#This Row],[Cost Price]]+Table57[[#This Row],[Markup Cost]]</f>
        <v>22.658999999999999</v>
      </c>
      <c r="E470" s="4">
        <v>1</v>
      </c>
      <c r="F470" s="20">
        <f>Table_supermarket_sales___Sheet13[[#This Row],[Selling Price]]-Table_supermarket_sales___Sheet13[[#This Row],[Cost Price]]</f>
        <v>1.0790000000000006</v>
      </c>
    </row>
    <row r="471" spans="1:6" x14ac:dyDescent="0.35">
      <c r="A471" s="3" t="s">
        <v>2</v>
      </c>
      <c r="B471" s="27">
        <v>98.84</v>
      </c>
      <c r="C471" s="1">
        <v>1</v>
      </c>
      <c r="D471" s="31">
        <f>Table_supermarket_sales___Sheet1[[#This Row],[Cost Price]]+Table57[[#This Row],[Markup Cost]]</f>
        <v>103.78200000000001</v>
      </c>
      <c r="E471" s="1">
        <v>1</v>
      </c>
      <c r="F471" s="20">
        <f>Table_supermarket_sales___Sheet13[[#This Row],[Selling Price]]-Table_supermarket_sales___Sheet13[[#This Row],[Cost Price]]</f>
        <v>4.9420000000000073</v>
      </c>
    </row>
    <row r="472" spans="1:6" x14ac:dyDescent="0.35">
      <c r="A472" s="3" t="s">
        <v>3</v>
      </c>
      <c r="B472" s="27">
        <v>83.77</v>
      </c>
      <c r="C472" s="1">
        <v>6</v>
      </c>
      <c r="D472" s="31">
        <f>Table_supermarket_sales___Sheet1[[#This Row],[Cost Price]]+Table57[[#This Row],[Markup Cost]]</f>
        <v>108.901</v>
      </c>
      <c r="E472" s="4">
        <v>6</v>
      </c>
      <c r="F472" s="20">
        <f>Table_supermarket_sales___Sheet13[[#This Row],[Selling Price]]-Table_supermarket_sales___Sheet13[[#This Row],[Cost Price]]</f>
        <v>25.131</v>
      </c>
    </row>
    <row r="473" spans="1:6" x14ac:dyDescent="0.35">
      <c r="A473" s="3" t="s">
        <v>4</v>
      </c>
      <c r="B473" s="27">
        <v>40.049999999999997</v>
      </c>
      <c r="C473" s="1">
        <v>4</v>
      </c>
      <c r="D473" s="31">
        <f>Table_supermarket_sales___Sheet1[[#This Row],[Cost Price]]+Table57[[#This Row],[Markup Cost]]</f>
        <v>48.059999999999995</v>
      </c>
      <c r="E473" s="1">
        <v>4</v>
      </c>
      <c r="F473" s="20">
        <f>Table_supermarket_sales___Sheet13[[#This Row],[Selling Price]]-Table_supermarket_sales___Sheet13[[#This Row],[Cost Price]]</f>
        <v>8.009999999999998</v>
      </c>
    </row>
    <row r="474" spans="1:6" x14ac:dyDescent="0.35">
      <c r="A474" s="3" t="s">
        <v>6</v>
      </c>
      <c r="B474" s="27">
        <v>43.13</v>
      </c>
      <c r="C474" s="1">
        <v>10</v>
      </c>
      <c r="D474" s="31">
        <f>Table_supermarket_sales___Sheet1[[#This Row],[Cost Price]]+Table57[[#This Row],[Markup Cost]]</f>
        <v>64.695000000000007</v>
      </c>
      <c r="E474" s="4">
        <v>10</v>
      </c>
      <c r="F474" s="20">
        <f>Table_supermarket_sales___Sheet13[[#This Row],[Selling Price]]-Table_supermarket_sales___Sheet13[[#This Row],[Cost Price]]</f>
        <v>21.565000000000005</v>
      </c>
    </row>
    <row r="475" spans="1:6" x14ac:dyDescent="0.35">
      <c r="A475" s="3" t="s">
        <v>1</v>
      </c>
      <c r="B475" s="27">
        <v>72.569999999999993</v>
      </c>
      <c r="C475" s="1">
        <v>8</v>
      </c>
      <c r="D475" s="31">
        <f>Table_supermarket_sales___Sheet1[[#This Row],[Cost Price]]+Table57[[#This Row],[Markup Cost]]</f>
        <v>101.59799999999998</v>
      </c>
      <c r="E475" s="1">
        <v>8</v>
      </c>
      <c r="F475" s="20">
        <f>Table_supermarket_sales___Sheet13[[#This Row],[Selling Price]]-Table_supermarket_sales___Sheet13[[#This Row],[Cost Price]]</f>
        <v>29.027999999999992</v>
      </c>
    </row>
    <row r="476" spans="1:6" x14ac:dyDescent="0.35">
      <c r="A476" s="3" t="s">
        <v>2</v>
      </c>
      <c r="B476" s="27">
        <v>64.44</v>
      </c>
      <c r="C476" s="1">
        <v>5</v>
      </c>
      <c r="D476" s="31">
        <f>Table_supermarket_sales___Sheet1[[#This Row],[Cost Price]]+Table57[[#This Row],[Markup Cost]]</f>
        <v>80.55</v>
      </c>
      <c r="E476" s="4">
        <v>5</v>
      </c>
      <c r="F476" s="20">
        <f>Table_supermarket_sales___Sheet13[[#This Row],[Selling Price]]-Table_supermarket_sales___Sheet13[[#This Row],[Cost Price]]</f>
        <v>16.11</v>
      </c>
    </row>
    <row r="477" spans="1:6" x14ac:dyDescent="0.35">
      <c r="A477" s="3" t="s">
        <v>1</v>
      </c>
      <c r="B477" s="27">
        <v>65.180000000000007</v>
      </c>
      <c r="C477" s="1">
        <v>3</v>
      </c>
      <c r="D477" s="31">
        <f>Table_supermarket_sales___Sheet1[[#This Row],[Cost Price]]+Table57[[#This Row],[Markup Cost]]</f>
        <v>74.957000000000008</v>
      </c>
      <c r="E477" s="1">
        <v>3</v>
      </c>
      <c r="F477" s="20">
        <f>Table_supermarket_sales___Sheet13[[#This Row],[Selling Price]]-Table_supermarket_sales___Sheet13[[#This Row],[Cost Price]]</f>
        <v>9.777000000000001</v>
      </c>
    </row>
    <row r="478" spans="1:6" x14ac:dyDescent="0.35">
      <c r="A478" s="3" t="s">
        <v>4</v>
      </c>
      <c r="B478" s="27">
        <v>33.26</v>
      </c>
      <c r="C478" s="1">
        <v>5</v>
      </c>
      <c r="D478" s="31">
        <f>Table_supermarket_sales___Sheet1[[#This Row],[Cost Price]]+Table57[[#This Row],[Markup Cost]]</f>
        <v>41.574999999999996</v>
      </c>
      <c r="E478" s="4">
        <v>5</v>
      </c>
      <c r="F478" s="20">
        <f>Table_supermarket_sales___Sheet13[[#This Row],[Selling Price]]-Table_supermarket_sales___Sheet13[[#This Row],[Cost Price]]</f>
        <v>8.3149999999999977</v>
      </c>
    </row>
    <row r="479" spans="1:6" x14ac:dyDescent="0.35">
      <c r="A479" s="3" t="s">
        <v>2</v>
      </c>
      <c r="B479" s="27">
        <v>84.07</v>
      </c>
      <c r="C479" s="1">
        <v>4</v>
      </c>
      <c r="D479" s="31">
        <f>Table_supermarket_sales___Sheet1[[#This Row],[Cost Price]]+Table57[[#This Row],[Markup Cost]]</f>
        <v>100.88399999999999</v>
      </c>
      <c r="E479" s="1">
        <v>4</v>
      </c>
      <c r="F479" s="20">
        <f>Table_supermarket_sales___Sheet13[[#This Row],[Selling Price]]-Table_supermarket_sales___Sheet13[[#This Row],[Cost Price]]</f>
        <v>16.813999999999993</v>
      </c>
    </row>
    <row r="480" spans="1:6" x14ac:dyDescent="0.35">
      <c r="A480" s="3" t="s">
        <v>4</v>
      </c>
      <c r="B480" s="27">
        <v>34.369999999999997</v>
      </c>
      <c r="C480" s="1">
        <v>10</v>
      </c>
      <c r="D480" s="31">
        <f>Table_supermarket_sales___Sheet1[[#This Row],[Cost Price]]+Table57[[#This Row],[Markup Cost]]</f>
        <v>51.554999999999993</v>
      </c>
      <c r="E480" s="4">
        <v>10</v>
      </c>
      <c r="F480" s="20">
        <f>Table_supermarket_sales___Sheet13[[#This Row],[Selling Price]]-Table_supermarket_sales___Sheet13[[#This Row],[Cost Price]]</f>
        <v>17.184999999999995</v>
      </c>
    </row>
    <row r="481" spans="1:6" x14ac:dyDescent="0.35">
      <c r="A481" s="3" t="s">
        <v>2</v>
      </c>
      <c r="B481" s="27">
        <v>38.6</v>
      </c>
      <c r="C481" s="1">
        <v>1</v>
      </c>
      <c r="D481" s="31">
        <f>Table_supermarket_sales___Sheet1[[#This Row],[Cost Price]]+Table57[[#This Row],[Markup Cost]]</f>
        <v>40.53</v>
      </c>
      <c r="E481" s="1">
        <v>1</v>
      </c>
      <c r="F481" s="20">
        <f>Table_supermarket_sales___Sheet13[[#This Row],[Selling Price]]-Table_supermarket_sales___Sheet13[[#This Row],[Cost Price]]</f>
        <v>1.9299999999999997</v>
      </c>
    </row>
    <row r="482" spans="1:6" x14ac:dyDescent="0.35">
      <c r="A482" s="3" t="s">
        <v>5</v>
      </c>
      <c r="B482" s="27">
        <v>65.97</v>
      </c>
      <c r="C482" s="1">
        <v>8</v>
      </c>
      <c r="D482" s="31">
        <f>Table_supermarket_sales___Sheet1[[#This Row],[Cost Price]]+Table57[[#This Row],[Markup Cost]]</f>
        <v>92.358000000000004</v>
      </c>
      <c r="E482" s="4">
        <v>8</v>
      </c>
      <c r="F482" s="20">
        <f>Table_supermarket_sales___Sheet13[[#This Row],[Selling Price]]-Table_supermarket_sales___Sheet13[[#This Row],[Cost Price]]</f>
        <v>26.388000000000005</v>
      </c>
    </row>
    <row r="483" spans="1:6" x14ac:dyDescent="0.35">
      <c r="A483" s="3" t="s">
        <v>2</v>
      </c>
      <c r="B483" s="27">
        <v>32.799999999999997</v>
      </c>
      <c r="C483" s="1">
        <v>10</v>
      </c>
      <c r="D483" s="31">
        <f>Table_supermarket_sales___Sheet1[[#This Row],[Cost Price]]+Table57[[#This Row],[Markup Cost]]</f>
        <v>49.199999999999996</v>
      </c>
      <c r="E483" s="1">
        <v>10</v>
      </c>
      <c r="F483" s="20">
        <f>Table_supermarket_sales___Sheet13[[#This Row],[Selling Price]]-Table_supermarket_sales___Sheet13[[#This Row],[Cost Price]]</f>
        <v>16.399999999999999</v>
      </c>
    </row>
    <row r="484" spans="1:6" x14ac:dyDescent="0.35">
      <c r="A484" s="3" t="s">
        <v>4</v>
      </c>
      <c r="B484" s="27">
        <v>37.14</v>
      </c>
      <c r="C484" s="1">
        <v>5</v>
      </c>
      <c r="D484" s="31">
        <f>Table_supermarket_sales___Sheet1[[#This Row],[Cost Price]]+Table57[[#This Row],[Markup Cost]]</f>
        <v>46.424999999999997</v>
      </c>
      <c r="E484" s="4">
        <v>5</v>
      </c>
      <c r="F484" s="20">
        <f>Table_supermarket_sales___Sheet13[[#This Row],[Selling Price]]-Table_supermarket_sales___Sheet13[[#This Row],[Cost Price]]</f>
        <v>9.2849999999999966</v>
      </c>
    </row>
    <row r="485" spans="1:6" x14ac:dyDescent="0.35">
      <c r="A485" s="3" t="s">
        <v>3</v>
      </c>
      <c r="B485" s="27">
        <v>60.38</v>
      </c>
      <c r="C485" s="1">
        <v>10</v>
      </c>
      <c r="D485" s="31">
        <f>Table_supermarket_sales___Sheet1[[#This Row],[Cost Price]]+Table57[[#This Row],[Markup Cost]]</f>
        <v>90.570000000000007</v>
      </c>
      <c r="E485" s="1">
        <v>10</v>
      </c>
      <c r="F485" s="20">
        <f>Table_supermarket_sales___Sheet13[[#This Row],[Selling Price]]-Table_supermarket_sales___Sheet13[[#This Row],[Cost Price]]</f>
        <v>30.190000000000005</v>
      </c>
    </row>
    <row r="486" spans="1:6" x14ac:dyDescent="0.35">
      <c r="A486" s="3" t="s">
        <v>4</v>
      </c>
      <c r="B486" s="27">
        <v>36.979999999999997</v>
      </c>
      <c r="C486" s="1">
        <v>10</v>
      </c>
      <c r="D486" s="31">
        <f>Table_supermarket_sales___Sheet1[[#This Row],[Cost Price]]+Table57[[#This Row],[Markup Cost]]</f>
        <v>55.47</v>
      </c>
      <c r="E486" s="4">
        <v>10</v>
      </c>
      <c r="F486" s="20">
        <f>Table_supermarket_sales___Sheet13[[#This Row],[Selling Price]]-Table_supermarket_sales___Sheet13[[#This Row],[Cost Price]]</f>
        <v>18.490000000000002</v>
      </c>
    </row>
    <row r="487" spans="1:6" x14ac:dyDescent="0.35">
      <c r="A487" s="3" t="s">
        <v>4</v>
      </c>
      <c r="B487" s="27">
        <v>49.49</v>
      </c>
      <c r="C487" s="1">
        <v>4</v>
      </c>
      <c r="D487" s="31">
        <f>Table_supermarket_sales___Sheet1[[#This Row],[Cost Price]]+Table57[[#This Row],[Markup Cost]]</f>
        <v>59.388000000000005</v>
      </c>
      <c r="E487" s="1">
        <v>4</v>
      </c>
      <c r="F487" s="20">
        <f>Table_supermarket_sales___Sheet13[[#This Row],[Selling Price]]-Table_supermarket_sales___Sheet13[[#This Row],[Cost Price]]</f>
        <v>9.8980000000000032</v>
      </c>
    </row>
    <row r="488" spans="1:6" x14ac:dyDescent="0.35">
      <c r="A488" s="3" t="s">
        <v>6</v>
      </c>
      <c r="B488" s="27">
        <v>41.09</v>
      </c>
      <c r="C488" s="1">
        <v>10</v>
      </c>
      <c r="D488" s="31">
        <f>Table_supermarket_sales___Sheet1[[#This Row],[Cost Price]]+Table57[[#This Row],[Markup Cost]]</f>
        <v>61.635000000000005</v>
      </c>
      <c r="E488" s="4">
        <v>10</v>
      </c>
      <c r="F488" s="20">
        <f>Table_supermarket_sales___Sheet13[[#This Row],[Selling Price]]-Table_supermarket_sales___Sheet13[[#This Row],[Cost Price]]</f>
        <v>20.545000000000002</v>
      </c>
    </row>
    <row r="489" spans="1:6" x14ac:dyDescent="0.35">
      <c r="A489" s="3" t="s">
        <v>6</v>
      </c>
      <c r="B489" s="27">
        <v>37.15</v>
      </c>
      <c r="C489" s="1">
        <v>4</v>
      </c>
      <c r="D489" s="31">
        <f>Table_supermarket_sales___Sheet1[[#This Row],[Cost Price]]+Table57[[#This Row],[Markup Cost]]</f>
        <v>44.58</v>
      </c>
      <c r="E489" s="1">
        <v>4</v>
      </c>
      <c r="F489" s="20">
        <f>Table_supermarket_sales___Sheet13[[#This Row],[Selling Price]]-Table_supermarket_sales___Sheet13[[#This Row],[Cost Price]]</f>
        <v>7.43</v>
      </c>
    </row>
    <row r="490" spans="1:6" x14ac:dyDescent="0.35">
      <c r="A490" s="3" t="s">
        <v>3</v>
      </c>
      <c r="B490" s="27">
        <v>22.96</v>
      </c>
      <c r="C490" s="1">
        <v>1</v>
      </c>
      <c r="D490" s="31">
        <f>Table_supermarket_sales___Sheet1[[#This Row],[Cost Price]]+Table57[[#This Row],[Markup Cost]]</f>
        <v>24.108000000000001</v>
      </c>
      <c r="E490" s="4">
        <v>1</v>
      </c>
      <c r="F490" s="20">
        <f>Table_supermarket_sales___Sheet13[[#This Row],[Selling Price]]-Table_supermarket_sales___Sheet13[[#This Row],[Cost Price]]</f>
        <v>1.1479999999999997</v>
      </c>
    </row>
    <row r="491" spans="1:6" x14ac:dyDescent="0.35">
      <c r="A491" s="3" t="s">
        <v>3</v>
      </c>
      <c r="B491" s="27">
        <v>77.680000000000007</v>
      </c>
      <c r="C491" s="1">
        <v>9</v>
      </c>
      <c r="D491" s="31">
        <f>Table_supermarket_sales___Sheet1[[#This Row],[Cost Price]]+Table57[[#This Row],[Markup Cost]]</f>
        <v>112.63600000000001</v>
      </c>
      <c r="E491" s="1">
        <v>9</v>
      </c>
      <c r="F491" s="20">
        <f>Table_supermarket_sales___Sheet13[[#This Row],[Selling Price]]-Table_supermarket_sales___Sheet13[[#This Row],[Cost Price]]</f>
        <v>34.956000000000003</v>
      </c>
    </row>
    <row r="492" spans="1:6" x14ac:dyDescent="0.35">
      <c r="A492" s="3" t="s">
        <v>6</v>
      </c>
      <c r="B492" s="27">
        <v>34.700000000000003</v>
      </c>
      <c r="C492" s="1">
        <v>2</v>
      </c>
      <c r="D492" s="31">
        <f>Table_supermarket_sales___Sheet1[[#This Row],[Cost Price]]+Table57[[#This Row],[Markup Cost]]</f>
        <v>38.17</v>
      </c>
      <c r="E492" s="4">
        <v>2</v>
      </c>
      <c r="F492" s="20">
        <f>Table_supermarket_sales___Sheet13[[#This Row],[Selling Price]]-Table_supermarket_sales___Sheet13[[#This Row],[Cost Price]]</f>
        <v>3.4699999999999989</v>
      </c>
    </row>
    <row r="493" spans="1:6" x14ac:dyDescent="0.35">
      <c r="A493" s="3" t="s">
        <v>6</v>
      </c>
      <c r="B493" s="27">
        <v>19.66</v>
      </c>
      <c r="C493" s="1">
        <v>10</v>
      </c>
      <c r="D493" s="31">
        <f>Table_supermarket_sales___Sheet1[[#This Row],[Cost Price]]+Table57[[#This Row],[Markup Cost]]</f>
        <v>29.490000000000002</v>
      </c>
      <c r="E493" s="1">
        <v>10</v>
      </c>
      <c r="F493" s="20">
        <f>Table_supermarket_sales___Sheet13[[#This Row],[Selling Price]]-Table_supermarket_sales___Sheet13[[#This Row],[Cost Price]]</f>
        <v>9.8300000000000018</v>
      </c>
    </row>
    <row r="494" spans="1:6" x14ac:dyDescent="0.35">
      <c r="A494" s="3" t="s">
        <v>1</v>
      </c>
      <c r="B494" s="27">
        <v>25.32</v>
      </c>
      <c r="C494" s="1">
        <v>8</v>
      </c>
      <c r="D494" s="31">
        <f>Table_supermarket_sales___Sheet1[[#This Row],[Cost Price]]+Table57[[#This Row],[Markup Cost]]</f>
        <v>35.448</v>
      </c>
      <c r="E494" s="4">
        <v>8</v>
      </c>
      <c r="F494" s="20">
        <f>Table_supermarket_sales___Sheet13[[#This Row],[Selling Price]]-Table_supermarket_sales___Sheet13[[#This Row],[Cost Price]]</f>
        <v>10.128</v>
      </c>
    </row>
    <row r="495" spans="1:6" x14ac:dyDescent="0.35">
      <c r="A495" s="3" t="s">
        <v>3</v>
      </c>
      <c r="B495" s="27">
        <v>12.12</v>
      </c>
      <c r="C495" s="1">
        <v>10</v>
      </c>
      <c r="D495" s="31">
        <f>Table_supermarket_sales___Sheet1[[#This Row],[Cost Price]]+Table57[[#This Row],[Markup Cost]]</f>
        <v>18.18</v>
      </c>
      <c r="E495" s="1">
        <v>10</v>
      </c>
      <c r="F495" s="20">
        <f>Table_supermarket_sales___Sheet13[[#This Row],[Selling Price]]-Table_supermarket_sales___Sheet13[[#This Row],[Cost Price]]</f>
        <v>6.0600000000000005</v>
      </c>
    </row>
    <row r="496" spans="1:6" x14ac:dyDescent="0.35">
      <c r="A496" s="3" t="s">
        <v>6</v>
      </c>
      <c r="B496" s="27">
        <v>99.89</v>
      </c>
      <c r="C496" s="1">
        <v>2</v>
      </c>
      <c r="D496" s="31">
        <f>Table_supermarket_sales___Sheet1[[#This Row],[Cost Price]]+Table57[[#This Row],[Markup Cost]]</f>
        <v>109.879</v>
      </c>
      <c r="E496" s="4">
        <v>2</v>
      </c>
      <c r="F496" s="20">
        <f>Table_supermarket_sales___Sheet13[[#This Row],[Selling Price]]-Table_supermarket_sales___Sheet13[[#This Row],[Cost Price]]</f>
        <v>9.9890000000000043</v>
      </c>
    </row>
    <row r="497" spans="1:6" x14ac:dyDescent="0.35">
      <c r="A497" s="3" t="s">
        <v>4</v>
      </c>
      <c r="B497" s="27">
        <v>75.92</v>
      </c>
      <c r="C497" s="1">
        <v>8</v>
      </c>
      <c r="D497" s="31">
        <f>Table_supermarket_sales___Sheet1[[#This Row],[Cost Price]]+Table57[[#This Row],[Markup Cost]]</f>
        <v>106.288</v>
      </c>
      <c r="E497" s="1">
        <v>8</v>
      </c>
      <c r="F497" s="20">
        <f>Table_supermarket_sales___Sheet13[[#This Row],[Selling Price]]-Table_supermarket_sales___Sheet13[[#This Row],[Cost Price]]</f>
        <v>30.367999999999995</v>
      </c>
    </row>
    <row r="498" spans="1:6" x14ac:dyDescent="0.35">
      <c r="A498" s="3" t="s">
        <v>2</v>
      </c>
      <c r="B498" s="27">
        <v>63.22</v>
      </c>
      <c r="C498" s="1">
        <v>2</v>
      </c>
      <c r="D498" s="31">
        <f>Table_supermarket_sales___Sheet1[[#This Row],[Cost Price]]+Table57[[#This Row],[Markup Cost]]</f>
        <v>69.542000000000002</v>
      </c>
      <c r="E498" s="4">
        <v>2</v>
      </c>
      <c r="F498" s="20">
        <f>Table_supermarket_sales___Sheet13[[#This Row],[Selling Price]]-Table_supermarket_sales___Sheet13[[#This Row],[Cost Price]]</f>
        <v>6.3220000000000027</v>
      </c>
    </row>
    <row r="499" spans="1:6" x14ac:dyDescent="0.35">
      <c r="A499" s="3" t="s">
        <v>5</v>
      </c>
      <c r="B499" s="27">
        <v>90.24</v>
      </c>
      <c r="C499" s="1">
        <v>6</v>
      </c>
      <c r="D499" s="31">
        <f>Table_supermarket_sales___Sheet1[[#This Row],[Cost Price]]+Table57[[#This Row],[Markup Cost]]</f>
        <v>117.312</v>
      </c>
      <c r="E499" s="1">
        <v>6</v>
      </c>
      <c r="F499" s="20">
        <f>Table_supermarket_sales___Sheet13[[#This Row],[Selling Price]]-Table_supermarket_sales___Sheet13[[#This Row],[Cost Price]]</f>
        <v>27.072000000000003</v>
      </c>
    </row>
    <row r="500" spans="1:6" x14ac:dyDescent="0.35">
      <c r="A500" s="3" t="s">
        <v>4</v>
      </c>
      <c r="B500" s="27">
        <v>98.13</v>
      </c>
      <c r="C500" s="1">
        <v>1</v>
      </c>
      <c r="D500" s="31">
        <f>Table_supermarket_sales___Sheet1[[#This Row],[Cost Price]]+Table57[[#This Row],[Markup Cost]]</f>
        <v>103.03649999999999</v>
      </c>
      <c r="E500" s="4">
        <v>1</v>
      </c>
      <c r="F500" s="20">
        <f>Table_supermarket_sales___Sheet13[[#This Row],[Selling Price]]-Table_supermarket_sales___Sheet13[[#This Row],[Cost Price]]</f>
        <v>4.9064999999999941</v>
      </c>
    </row>
    <row r="501" spans="1:6" x14ac:dyDescent="0.35">
      <c r="A501" s="3" t="s">
        <v>4</v>
      </c>
      <c r="B501" s="27">
        <v>51.52</v>
      </c>
      <c r="C501" s="1">
        <v>8</v>
      </c>
      <c r="D501" s="31">
        <f>Table_supermarket_sales___Sheet1[[#This Row],[Cost Price]]+Table57[[#This Row],[Markup Cost]]</f>
        <v>72.128</v>
      </c>
      <c r="E501" s="1">
        <v>8</v>
      </c>
      <c r="F501" s="20">
        <f>Table_supermarket_sales___Sheet13[[#This Row],[Selling Price]]-Table_supermarket_sales___Sheet13[[#This Row],[Cost Price]]</f>
        <v>20.607999999999997</v>
      </c>
    </row>
    <row r="502" spans="1:6" x14ac:dyDescent="0.35">
      <c r="A502" s="3" t="s">
        <v>4</v>
      </c>
      <c r="B502" s="27">
        <v>73.97</v>
      </c>
      <c r="C502" s="1">
        <v>1</v>
      </c>
      <c r="D502" s="31">
        <f>Table_supermarket_sales___Sheet1[[#This Row],[Cost Price]]+Table57[[#This Row],[Markup Cost]]</f>
        <v>77.668499999999995</v>
      </c>
      <c r="E502" s="4">
        <v>1</v>
      </c>
      <c r="F502" s="20">
        <f>Table_supermarket_sales___Sheet13[[#This Row],[Selling Price]]-Table_supermarket_sales___Sheet13[[#This Row],[Cost Price]]</f>
        <v>3.6984999999999957</v>
      </c>
    </row>
    <row r="503" spans="1:6" x14ac:dyDescent="0.35">
      <c r="A503" s="3" t="s">
        <v>6</v>
      </c>
      <c r="B503" s="27">
        <v>31.9</v>
      </c>
      <c r="C503" s="1">
        <v>1</v>
      </c>
      <c r="D503" s="31">
        <f>Table_supermarket_sales___Sheet1[[#This Row],[Cost Price]]+Table57[[#This Row],[Markup Cost]]</f>
        <v>33.494999999999997</v>
      </c>
      <c r="E503" s="1">
        <v>1</v>
      </c>
      <c r="F503" s="20">
        <f>Table_supermarket_sales___Sheet13[[#This Row],[Selling Price]]-Table_supermarket_sales___Sheet13[[#This Row],[Cost Price]]</f>
        <v>1.5949999999999989</v>
      </c>
    </row>
    <row r="504" spans="1:6" x14ac:dyDescent="0.35">
      <c r="A504" s="3" t="s">
        <v>3</v>
      </c>
      <c r="B504" s="27">
        <v>69.400000000000006</v>
      </c>
      <c r="C504" s="1">
        <v>2</v>
      </c>
      <c r="D504" s="31">
        <f>Table_supermarket_sales___Sheet1[[#This Row],[Cost Price]]+Table57[[#This Row],[Markup Cost]]</f>
        <v>76.34</v>
      </c>
      <c r="E504" s="4">
        <v>2</v>
      </c>
      <c r="F504" s="20">
        <f>Table_supermarket_sales___Sheet13[[#This Row],[Selling Price]]-Table_supermarket_sales___Sheet13[[#This Row],[Cost Price]]</f>
        <v>6.9399999999999977</v>
      </c>
    </row>
    <row r="505" spans="1:6" x14ac:dyDescent="0.35">
      <c r="A505" s="3" t="s">
        <v>4</v>
      </c>
      <c r="B505" s="27">
        <v>93.31</v>
      </c>
      <c r="C505" s="1">
        <v>2</v>
      </c>
      <c r="D505" s="31">
        <f>Table_supermarket_sales___Sheet1[[#This Row],[Cost Price]]+Table57[[#This Row],[Markup Cost]]</f>
        <v>102.64100000000001</v>
      </c>
      <c r="E505" s="1">
        <v>2</v>
      </c>
      <c r="F505" s="20">
        <f>Table_supermarket_sales___Sheet13[[#This Row],[Selling Price]]-Table_supermarket_sales___Sheet13[[#This Row],[Cost Price]]</f>
        <v>9.3310000000000031</v>
      </c>
    </row>
    <row r="506" spans="1:6" x14ac:dyDescent="0.35">
      <c r="A506" s="3" t="s">
        <v>4</v>
      </c>
      <c r="B506" s="27">
        <v>88.45</v>
      </c>
      <c r="C506" s="1">
        <v>1</v>
      </c>
      <c r="D506" s="31">
        <f>Table_supermarket_sales___Sheet1[[#This Row],[Cost Price]]+Table57[[#This Row],[Markup Cost]]</f>
        <v>92.872500000000002</v>
      </c>
      <c r="E506" s="4">
        <v>1</v>
      </c>
      <c r="F506" s="20">
        <f>Table_supermarket_sales___Sheet13[[#This Row],[Selling Price]]-Table_supermarket_sales___Sheet13[[#This Row],[Cost Price]]</f>
        <v>4.4224999999999994</v>
      </c>
    </row>
    <row r="507" spans="1:6" x14ac:dyDescent="0.35">
      <c r="A507" s="3" t="s">
        <v>2</v>
      </c>
      <c r="B507" s="27">
        <v>24.18</v>
      </c>
      <c r="C507" s="1">
        <v>8</v>
      </c>
      <c r="D507" s="31">
        <f>Table_supermarket_sales___Sheet1[[#This Row],[Cost Price]]+Table57[[#This Row],[Markup Cost]]</f>
        <v>33.852000000000004</v>
      </c>
      <c r="E507" s="1">
        <v>8</v>
      </c>
      <c r="F507" s="20">
        <f>Table_supermarket_sales___Sheet13[[#This Row],[Selling Price]]-Table_supermarket_sales___Sheet13[[#This Row],[Cost Price]]</f>
        <v>9.6720000000000041</v>
      </c>
    </row>
    <row r="508" spans="1:6" x14ac:dyDescent="0.35">
      <c r="A508" s="3" t="s">
        <v>4</v>
      </c>
      <c r="B508" s="27">
        <v>48.5</v>
      </c>
      <c r="C508" s="1">
        <v>3</v>
      </c>
      <c r="D508" s="31">
        <f>Table_supermarket_sales___Sheet1[[#This Row],[Cost Price]]+Table57[[#This Row],[Markup Cost]]</f>
        <v>55.774999999999999</v>
      </c>
      <c r="E508" s="4">
        <v>3</v>
      </c>
      <c r="F508" s="20">
        <f>Table_supermarket_sales___Sheet13[[#This Row],[Selling Price]]-Table_supermarket_sales___Sheet13[[#This Row],[Cost Price]]</f>
        <v>7.2749999999999986</v>
      </c>
    </row>
    <row r="509" spans="1:6" x14ac:dyDescent="0.35">
      <c r="A509" s="3" t="s">
        <v>5</v>
      </c>
      <c r="B509" s="27">
        <v>84.05</v>
      </c>
      <c r="C509" s="1">
        <v>6</v>
      </c>
      <c r="D509" s="31">
        <f>Table_supermarket_sales___Sheet1[[#This Row],[Cost Price]]+Table57[[#This Row],[Markup Cost]]</f>
        <v>109.265</v>
      </c>
      <c r="E509" s="1">
        <v>6</v>
      </c>
      <c r="F509" s="20">
        <f>Table_supermarket_sales___Sheet13[[#This Row],[Selling Price]]-Table_supermarket_sales___Sheet13[[#This Row],[Cost Price]]</f>
        <v>25.215000000000003</v>
      </c>
    </row>
    <row r="510" spans="1:6" x14ac:dyDescent="0.35">
      <c r="A510" s="3" t="s">
        <v>1</v>
      </c>
      <c r="B510" s="27">
        <v>61.29</v>
      </c>
      <c r="C510" s="1">
        <v>5</v>
      </c>
      <c r="D510" s="31">
        <f>Table_supermarket_sales___Sheet1[[#This Row],[Cost Price]]+Table57[[#This Row],[Markup Cost]]</f>
        <v>76.612499999999997</v>
      </c>
      <c r="E510" s="4">
        <v>5</v>
      </c>
      <c r="F510" s="20">
        <f>Table_supermarket_sales___Sheet13[[#This Row],[Selling Price]]-Table_supermarket_sales___Sheet13[[#This Row],[Cost Price]]</f>
        <v>15.322499999999998</v>
      </c>
    </row>
    <row r="511" spans="1:6" x14ac:dyDescent="0.35">
      <c r="A511" s="3" t="s">
        <v>3</v>
      </c>
      <c r="B511" s="27">
        <v>15.95</v>
      </c>
      <c r="C511" s="1">
        <v>6</v>
      </c>
      <c r="D511" s="31">
        <f>Table_supermarket_sales___Sheet1[[#This Row],[Cost Price]]+Table57[[#This Row],[Markup Cost]]</f>
        <v>20.734999999999999</v>
      </c>
      <c r="E511" s="1">
        <v>6</v>
      </c>
      <c r="F511" s="20">
        <f>Table_supermarket_sales___Sheet13[[#This Row],[Selling Price]]-Table_supermarket_sales___Sheet13[[#This Row],[Cost Price]]</f>
        <v>4.7850000000000001</v>
      </c>
    </row>
    <row r="512" spans="1:6" x14ac:dyDescent="0.35">
      <c r="A512" s="3" t="s">
        <v>4</v>
      </c>
      <c r="B512" s="27">
        <v>90.74</v>
      </c>
      <c r="C512" s="1">
        <v>7</v>
      </c>
      <c r="D512" s="31">
        <f>Table_supermarket_sales___Sheet1[[#This Row],[Cost Price]]+Table57[[#This Row],[Markup Cost]]</f>
        <v>122.499</v>
      </c>
      <c r="E512" s="4">
        <v>7</v>
      </c>
      <c r="F512" s="20">
        <f>Table_supermarket_sales___Sheet13[[#This Row],[Selling Price]]-Table_supermarket_sales___Sheet13[[#This Row],[Cost Price]]</f>
        <v>31.759</v>
      </c>
    </row>
    <row r="513" spans="1:6" x14ac:dyDescent="0.35">
      <c r="A513" s="3" t="s">
        <v>3</v>
      </c>
      <c r="B513" s="27">
        <v>42.91</v>
      </c>
      <c r="C513" s="1">
        <v>5</v>
      </c>
      <c r="D513" s="31">
        <f>Table_supermarket_sales___Sheet1[[#This Row],[Cost Price]]+Table57[[#This Row],[Markup Cost]]</f>
        <v>53.637499999999996</v>
      </c>
      <c r="E513" s="1">
        <v>5</v>
      </c>
      <c r="F513" s="20">
        <f>Table_supermarket_sales___Sheet13[[#This Row],[Selling Price]]-Table_supermarket_sales___Sheet13[[#This Row],[Cost Price]]</f>
        <v>10.727499999999999</v>
      </c>
    </row>
    <row r="514" spans="1:6" x14ac:dyDescent="0.35">
      <c r="A514" s="3" t="s">
        <v>6</v>
      </c>
      <c r="B514" s="27">
        <v>54.28</v>
      </c>
      <c r="C514" s="1">
        <v>7</v>
      </c>
      <c r="D514" s="31">
        <f>Table_supermarket_sales___Sheet1[[#This Row],[Cost Price]]+Table57[[#This Row],[Markup Cost]]</f>
        <v>73.278000000000006</v>
      </c>
      <c r="E514" s="4">
        <v>7</v>
      </c>
      <c r="F514" s="20">
        <f>Table_supermarket_sales___Sheet13[[#This Row],[Selling Price]]-Table_supermarket_sales___Sheet13[[#This Row],[Cost Price]]</f>
        <v>18.998000000000005</v>
      </c>
    </row>
    <row r="515" spans="1:6" x14ac:dyDescent="0.35">
      <c r="A515" s="3" t="s">
        <v>2</v>
      </c>
      <c r="B515" s="27">
        <v>99.55</v>
      </c>
      <c r="C515" s="1">
        <v>7</v>
      </c>
      <c r="D515" s="31">
        <f>Table_supermarket_sales___Sheet1[[#This Row],[Cost Price]]+Table57[[#This Row],[Markup Cost]]</f>
        <v>134.39249999999998</v>
      </c>
      <c r="E515" s="1">
        <v>7</v>
      </c>
      <c r="F515" s="20">
        <f>Table_supermarket_sales___Sheet13[[#This Row],[Selling Price]]-Table_supermarket_sales___Sheet13[[#This Row],[Cost Price]]</f>
        <v>34.842499999999987</v>
      </c>
    </row>
    <row r="516" spans="1:6" x14ac:dyDescent="0.35">
      <c r="A516" s="3" t="s">
        <v>4</v>
      </c>
      <c r="B516" s="27">
        <v>58.39</v>
      </c>
      <c r="C516" s="1">
        <v>7</v>
      </c>
      <c r="D516" s="31">
        <f>Table_supermarket_sales___Sheet1[[#This Row],[Cost Price]]+Table57[[#This Row],[Markup Cost]]</f>
        <v>78.826499999999996</v>
      </c>
      <c r="E516" s="4">
        <v>7</v>
      </c>
      <c r="F516" s="20">
        <f>Table_supermarket_sales___Sheet13[[#This Row],[Selling Price]]-Table_supermarket_sales___Sheet13[[#This Row],[Cost Price]]</f>
        <v>20.436499999999995</v>
      </c>
    </row>
    <row r="517" spans="1:6" x14ac:dyDescent="0.35">
      <c r="A517" s="3" t="s">
        <v>6</v>
      </c>
      <c r="B517" s="27">
        <v>51.47</v>
      </c>
      <c r="C517" s="1">
        <v>1</v>
      </c>
      <c r="D517" s="31">
        <f>Table_supermarket_sales___Sheet1[[#This Row],[Cost Price]]+Table57[[#This Row],[Markup Cost]]</f>
        <v>54.043500000000002</v>
      </c>
      <c r="E517" s="1">
        <v>1</v>
      </c>
      <c r="F517" s="20">
        <f>Table_supermarket_sales___Sheet13[[#This Row],[Selling Price]]-Table_supermarket_sales___Sheet13[[#This Row],[Cost Price]]</f>
        <v>2.5735000000000028</v>
      </c>
    </row>
    <row r="518" spans="1:6" x14ac:dyDescent="0.35">
      <c r="A518" s="3" t="s">
        <v>1</v>
      </c>
      <c r="B518" s="27">
        <v>54.86</v>
      </c>
      <c r="C518" s="1">
        <v>5</v>
      </c>
      <c r="D518" s="31">
        <f>Table_supermarket_sales___Sheet1[[#This Row],[Cost Price]]+Table57[[#This Row],[Markup Cost]]</f>
        <v>68.575000000000003</v>
      </c>
      <c r="E518" s="4">
        <v>5</v>
      </c>
      <c r="F518" s="20">
        <f>Table_supermarket_sales___Sheet13[[#This Row],[Selling Price]]-Table_supermarket_sales___Sheet13[[#This Row],[Cost Price]]</f>
        <v>13.715000000000003</v>
      </c>
    </row>
    <row r="519" spans="1:6" x14ac:dyDescent="0.35">
      <c r="A519" s="3" t="s">
        <v>3</v>
      </c>
      <c r="B519" s="27">
        <v>39.39</v>
      </c>
      <c r="C519" s="1">
        <v>5</v>
      </c>
      <c r="D519" s="31">
        <f>Table_supermarket_sales___Sheet1[[#This Row],[Cost Price]]+Table57[[#This Row],[Markup Cost]]</f>
        <v>49.237499999999997</v>
      </c>
      <c r="E519" s="1">
        <v>5</v>
      </c>
      <c r="F519" s="20">
        <f>Table_supermarket_sales___Sheet13[[#This Row],[Selling Price]]-Table_supermarket_sales___Sheet13[[#This Row],[Cost Price]]</f>
        <v>9.8474999999999966</v>
      </c>
    </row>
    <row r="520" spans="1:6" x14ac:dyDescent="0.35">
      <c r="A520" s="3" t="s">
        <v>3</v>
      </c>
      <c r="B520" s="27">
        <v>34.729999999999997</v>
      </c>
      <c r="C520" s="1">
        <v>2</v>
      </c>
      <c r="D520" s="31">
        <f>Table_supermarket_sales___Sheet1[[#This Row],[Cost Price]]+Table57[[#This Row],[Markup Cost]]</f>
        <v>38.202999999999996</v>
      </c>
      <c r="E520" s="4">
        <v>2</v>
      </c>
      <c r="F520" s="20">
        <f>Table_supermarket_sales___Sheet13[[#This Row],[Selling Price]]-Table_supermarket_sales___Sheet13[[#This Row],[Cost Price]]</f>
        <v>3.472999999999999</v>
      </c>
    </row>
    <row r="521" spans="1:6" x14ac:dyDescent="0.35">
      <c r="A521" s="3" t="s">
        <v>4</v>
      </c>
      <c r="B521" s="27">
        <v>71.92</v>
      </c>
      <c r="C521" s="1">
        <v>5</v>
      </c>
      <c r="D521" s="31">
        <f>Table_supermarket_sales___Sheet1[[#This Row],[Cost Price]]+Table57[[#This Row],[Markup Cost]]</f>
        <v>89.9</v>
      </c>
      <c r="E521" s="1">
        <v>5</v>
      </c>
      <c r="F521" s="20">
        <f>Table_supermarket_sales___Sheet13[[#This Row],[Selling Price]]-Table_supermarket_sales___Sheet13[[#This Row],[Cost Price]]</f>
        <v>17.980000000000004</v>
      </c>
    </row>
    <row r="522" spans="1:6" x14ac:dyDescent="0.35">
      <c r="A522" s="3" t="s">
        <v>2</v>
      </c>
      <c r="B522" s="27">
        <v>45.71</v>
      </c>
      <c r="C522" s="1">
        <v>3</v>
      </c>
      <c r="D522" s="31">
        <f>Table_supermarket_sales___Sheet1[[#This Row],[Cost Price]]+Table57[[#This Row],[Markup Cost]]</f>
        <v>52.566499999999998</v>
      </c>
      <c r="E522" s="4">
        <v>3</v>
      </c>
      <c r="F522" s="20">
        <f>Table_supermarket_sales___Sheet13[[#This Row],[Selling Price]]-Table_supermarket_sales___Sheet13[[#This Row],[Cost Price]]</f>
        <v>6.8564999999999969</v>
      </c>
    </row>
    <row r="523" spans="1:6" x14ac:dyDescent="0.35">
      <c r="A523" s="3" t="s">
        <v>3</v>
      </c>
      <c r="B523" s="27">
        <v>83.17</v>
      </c>
      <c r="C523" s="1">
        <v>6</v>
      </c>
      <c r="D523" s="31">
        <f>Table_supermarket_sales___Sheet1[[#This Row],[Cost Price]]+Table57[[#This Row],[Markup Cost]]</f>
        <v>108.12100000000001</v>
      </c>
      <c r="E523" s="1">
        <v>6</v>
      </c>
      <c r="F523" s="20">
        <f>Table_supermarket_sales___Sheet13[[#This Row],[Selling Price]]-Table_supermarket_sales___Sheet13[[#This Row],[Cost Price]]</f>
        <v>24.951000000000008</v>
      </c>
    </row>
    <row r="524" spans="1:6" x14ac:dyDescent="0.35">
      <c r="A524" s="3" t="s">
        <v>3</v>
      </c>
      <c r="B524" s="27">
        <v>37.44</v>
      </c>
      <c r="C524" s="1">
        <v>6</v>
      </c>
      <c r="D524" s="31">
        <f>Table_supermarket_sales___Sheet1[[#This Row],[Cost Price]]+Table57[[#This Row],[Markup Cost]]</f>
        <v>48.671999999999997</v>
      </c>
      <c r="E524" s="4">
        <v>6</v>
      </c>
      <c r="F524" s="20">
        <f>Table_supermarket_sales___Sheet13[[#This Row],[Selling Price]]-Table_supermarket_sales___Sheet13[[#This Row],[Cost Price]]</f>
        <v>11.231999999999999</v>
      </c>
    </row>
    <row r="525" spans="1:6" x14ac:dyDescent="0.35">
      <c r="A525" s="3" t="s">
        <v>1</v>
      </c>
      <c r="B525" s="27">
        <v>62.87</v>
      </c>
      <c r="C525" s="1">
        <v>2</v>
      </c>
      <c r="D525" s="31">
        <f>Table_supermarket_sales___Sheet1[[#This Row],[Cost Price]]+Table57[[#This Row],[Markup Cost]]</f>
        <v>69.156999999999996</v>
      </c>
      <c r="E525" s="1">
        <v>2</v>
      </c>
      <c r="F525" s="20">
        <f>Table_supermarket_sales___Sheet13[[#This Row],[Selling Price]]-Table_supermarket_sales___Sheet13[[#This Row],[Cost Price]]</f>
        <v>6.286999999999999</v>
      </c>
    </row>
    <row r="526" spans="1:6" x14ac:dyDescent="0.35">
      <c r="A526" s="3" t="s">
        <v>5</v>
      </c>
      <c r="B526" s="27">
        <v>81.709999999999994</v>
      </c>
      <c r="C526" s="1">
        <v>6</v>
      </c>
      <c r="D526" s="31">
        <f>Table_supermarket_sales___Sheet1[[#This Row],[Cost Price]]+Table57[[#This Row],[Markup Cost]]</f>
        <v>106.223</v>
      </c>
      <c r="E526" s="4">
        <v>6</v>
      </c>
      <c r="F526" s="20">
        <f>Table_supermarket_sales___Sheet13[[#This Row],[Selling Price]]-Table_supermarket_sales___Sheet13[[#This Row],[Cost Price]]</f>
        <v>24.513000000000005</v>
      </c>
    </row>
    <row r="527" spans="1:6" x14ac:dyDescent="0.35">
      <c r="A527" s="3" t="s">
        <v>4</v>
      </c>
      <c r="B527" s="27">
        <v>91.41</v>
      </c>
      <c r="C527" s="1">
        <v>5</v>
      </c>
      <c r="D527" s="31">
        <f>Table_supermarket_sales___Sheet1[[#This Row],[Cost Price]]+Table57[[#This Row],[Markup Cost]]</f>
        <v>114.26249999999999</v>
      </c>
      <c r="E527" s="1">
        <v>5</v>
      </c>
      <c r="F527" s="20">
        <f>Table_supermarket_sales___Sheet13[[#This Row],[Selling Price]]-Table_supermarket_sales___Sheet13[[#This Row],[Cost Price]]</f>
        <v>22.852499999999992</v>
      </c>
    </row>
    <row r="528" spans="1:6" x14ac:dyDescent="0.35">
      <c r="A528" s="3" t="s">
        <v>6</v>
      </c>
      <c r="B528" s="27">
        <v>39.21</v>
      </c>
      <c r="C528" s="1">
        <v>4</v>
      </c>
      <c r="D528" s="31">
        <f>Table_supermarket_sales___Sheet1[[#This Row],[Cost Price]]+Table57[[#This Row],[Markup Cost]]</f>
        <v>47.052</v>
      </c>
      <c r="E528" s="4">
        <v>4</v>
      </c>
      <c r="F528" s="20">
        <f>Table_supermarket_sales___Sheet13[[#This Row],[Selling Price]]-Table_supermarket_sales___Sheet13[[#This Row],[Cost Price]]</f>
        <v>7.8419999999999987</v>
      </c>
    </row>
    <row r="529" spans="1:6" x14ac:dyDescent="0.35">
      <c r="A529" s="3" t="s">
        <v>6</v>
      </c>
      <c r="B529" s="27">
        <v>59.86</v>
      </c>
      <c r="C529" s="1">
        <v>2</v>
      </c>
      <c r="D529" s="31">
        <f>Table_supermarket_sales___Sheet1[[#This Row],[Cost Price]]+Table57[[#This Row],[Markup Cost]]</f>
        <v>65.846000000000004</v>
      </c>
      <c r="E529" s="1">
        <v>2</v>
      </c>
      <c r="F529" s="20">
        <f>Table_supermarket_sales___Sheet13[[#This Row],[Selling Price]]-Table_supermarket_sales___Sheet13[[#This Row],[Cost Price]]</f>
        <v>5.9860000000000042</v>
      </c>
    </row>
    <row r="530" spans="1:6" x14ac:dyDescent="0.35">
      <c r="A530" s="3" t="s">
        <v>5</v>
      </c>
      <c r="B530" s="27">
        <v>54.36</v>
      </c>
      <c r="C530" s="1">
        <v>10</v>
      </c>
      <c r="D530" s="31">
        <f>Table_supermarket_sales___Sheet1[[#This Row],[Cost Price]]+Table57[[#This Row],[Markup Cost]]</f>
        <v>81.539999999999992</v>
      </c>
      <c r="E530" s="4">
        <v>10</v>
      </c>
      <c r="F530" s="20">
        <f>Table_supermarket_sales___Sheet13[[#This Row],[Selling Price]]-Table_supermarket_sales___Sheet13[[#This Row],[Cost Price]]</f>
        <v>27.179999999999993</v>
      </c>
    </row>
    <row r="531" spans="1:6" x14ac:dyDescent="0.35">
      <c r="A531" s="3" t="s">
        <v>4</v>
      </c>
      <c r="B531" s="27">
        <v>98.09</v>
      </c>
      <c r="C531" s="1">
        <v>9</v>
      </c>
      <c r="D531" s="31">
        <f>Table_supermarket_sales___Sheet1[[#This Row],[Cost Price]]+Table57[[#This Row],[Markup Cost]]</f>
        <v>142.23050000000001</v>
      </c>
      <c r="E531" s="1">
        <v>9</v>
      </c>
      <c r="F531" s="20">
        <f>Table_supermarket_sales___Sheet13[[#This Row],[Selling Price]]-Table_supermarket_sales___Sheet13[[#This Row],[Cost Price]]</f>
        <v>44.140500000000003</v>
      </c>
    </row>
    <row r="532" spans="1:6" x14ac:dyDescent="0.35">
      <c r="A532" s="3" t="s">
        <v>1</v>
      </c>
      <c r="B532" s="27">
        <v>25.43</v>
      </c>
      <c r="C532" s="1">
        <v>6</v>
      </c>
      <c r="D532" s="31">
        <f>Table_supermarket_sales___Sheet1[[#This Row],[Cost Price]]+Table57[[#This Row],[Markup Cost]]</f>
        <v>33.058999999999997</v>
      </c>
      <c r="E532" s="4">
        <v>6</v>
      </c>
      <c r="F532" s="20">
        <f>Table_supermarket_sales___Sheet13[[#This Row],[Selling Price]]-Table_supermarket_sales___Sheet13[[#This Row],[Cost Price]]</f>
        <v>7.6289999999999978</v>
      </c>
    </row>
    <row r="533" spans="1:6" x14ac:dyDescent="0.35">
      <c r="A533" s="3" t="s">
        <v>6</v>
      </c>
      <c r="B533" s="27">
        <v>86.68</v>
      </c>
      <c r="C533" s="1">
        <v>8</v>
      </c>
      <c r="D533" s="31">
        <f>Table_supermarket_sales___Sheet1[[#This Row],[Cost Price]]+Table57[[#This Row],[Markup Cost]]</f>
        <v>121.352</v>
      </c>
      <c r="E533" s="1">
        <v>8</v>
      </c>
      <c r="F533" s="20">
        <f>Table_supermarket_sales___Sheet13[[#This Row],[Selling Price]]-Table_supermarket_sales___Sheet13[[#This Row],[Cost Price]]</f>
        <v>34.671999999999997</v>
      </c>
    </row>
    <row r="534" spans="1:6" x14ac:dyDescent="0.35">
      <c r="A534" s="3" t="s">
        <v>2</v>
      </c>
      <c r="B534" s="27">
        <v>22.95</v>
      </c>
      <c r="C534" s="1">
        <v>10</v>
      </c>
      <c r="D534" s="31">
        <f>Table_supermarket_sales___Sheet1[[#This Row],[Cost Price]]+Table57[[#This Row],[Markup Cost]]</f>
        <v>34.424999999999997</v>
      </c>
      <c r="E534" s="4">
        <v>10</v>
      </c>
      <c r="F534" s="20">
        <f>Table_supermarket_sales___Sheet13[[#This Row],[Selling Price]]-Table_supermarket_sales___Sheet13[[#This Row],[Cost Price]]</f>
        <v>11.474999999999998</v>
      </c>
    </row>
    <row r="535" spans="1:6" x14ac:dyDescent="0.35">
      <c r="A535" s="3" t="s">
        <v>5</v>
      </c>
      <c r="B535" s="27">
        <v>16.309999999999999</v>
      </c>
      <c r="C535" s="1">
        <v>9</v>
      </c>
      <c r="D535" s="31">
        <f>Table_supermarket_sales___Sheet1[[#This Row],[Cost Price]]+Table57[[#This Row],[Markup Cost]]</f>
        <v>23.6495</v>
      </c>
      <c r="E535" s="1">
        <v>9</v>
      </c>
      <c r="F535" s="20">
        <f>Table_supermarket_sales___Sheet13[[#This Row],[Selling Price]]-Table_supermarket_sales___Sheet13[[#This Row],[Cost Price]]</f>
        <v>7.339500000000001</v>
      </c>
    </row>
    <row r="536" spans="1:6" x14ac:dyDescent="0.35">
      <c r="A536" s="3" t="s">
        <v>3</v>
      </c>
      <c r="B536" s="27">
        <v>28.32</v>
      </c>
      <c r="C536" s="1">
        <v>5</v>
      </c>
      <c r="D536" s="31">
        <f>Table_supermarket_sales___Sheet1[[#This Row],[Cost Price]]+Table57[[#This Row],[Markup Cost]]</f>
        <v>35.4</v>
      </c>
      <c r="E536" s="4">
        <v>5</v>
      </c>
      <c r="F536" s="20">
        <f>Table_supermarket_sales___Sheet13[[#This Row],[Selling Price]]-Table_supermarket_sales___Sheet13[[#This Row],[Cost Price]]</f>
        <v>7.0799999999999983</v>
      </c>
    </row>
    <row r="537" spans="1:6" x14ac:dyDescent="0.35">
      <c r="A537" s="3" t="s">
        <v>3</v>
      </c>
      <c r="B537" s="27">
        <v>16.670000000000002</v>
      </c>
      <c r="C537" s="1">
        <v>7</v>
      </c>
      <c r="D537" s="31">
        <f>Table_supermarket_sales___Sheet1[[#This Row],[Cost Price]]+Table57[[#This Row],[Markup Cost]]</f>
        <v>22.5045</v>
      </c>
      <c r="E537" s="1">
        <v>7</v>
      </c>
      <c r="F537" s="20">
        <f>Table_supermarket_sales___Sheet13[[#This Row],[Selling Price]]-Table_supermarket_sales___Sheet13[[#This Row],[Cost Price]]</f>
        <v>5.8344999999999985</v>
      </c>
    </row>
    <row r="538" spans="1:6" x14ac:dyDescent="0.35">
      <c r="A538" s="3" t="s">
        <v>6</v>
      </c>
      <c r="B538" s="27">
        <v>73.959999999999994</v>
      </c>
      <c r="C538" s="1">
        <v>1</v>
      </c>
      <c r="D538" s="31">
        <f>Table_supermarket_sales___Sheet1[[#This Row],[Cost Price]]+Table57[[#This Row],[Markup Cost]]</f>
        <v>77.657999999999987</v>
      </c>
      <c r="E538" s="4">
        <v>1</v>
      </c>
      <c r="F538" s="20">
        <f>Table_supermarket_sales___Sheet13[[#This Row],[Selling Price]]-Table_supermarket_sales___Sheet13[[#This Row],[Cost Price]]</f>
        <v>3.6979999999999933</v>
      </c>
    </row>
    <row r="539" spans="1:6" x14ac:dyDescent="0.35">
      <c r="A539" s="3" t="s">
        <v>3</v>
      </c>
      <c r="B539" s="27">
        <v>97.94</v>
      </c>
      <c r="C539" s="1">
        <v>1</v>
      </c>
      <c r="D539" s="31">
        <f>Table_supermarket_sales___Sheet1[[#This Row],[Cost Price]]+Table57[[#This Row],[Markup Cost]]</f>
        <v>102.837</v>
      </c>
      <c r="E539" s="1">
        <v>1</v>
      </c>
      <c r="F539" s="20">
        <f>Table_supermarket_sales___Sheet13[[#This Row],[Selling Price]]-Table_supermarket_sales___Sheet13[[#This Row],[Cost Price]]</f>
        <v>4.8970000000000056</v>
      </c>
    </row>
    <row r="540" spans="1:6" x14ac:dyDescent="0.35">
      <c r="A540" s="3" t="s">
        <v>6</v>
      </c>
      <c r="B540" s="27">
        <v>73.05</v>
      </c>
      <c r="C540" s="1">
        <v>4</v>
      </c>
      <c r="D540" s="31">
        <f>Table_supermarket_sales___Sheet1[[#This Row],[Cost Price]]+Table57[[#This Row],[Markup Cost]]</f>
        <v>87.66</v>
      </c>
      <c r="E540" s="4">
        <v>4</v>
      </c>
      <c r="F540" s="20">
        <f>Table_supermarket_sales___Sheet13[[#This Row],[Selling Price]]-Table_supermarket_sales___Sheet13[[#This Row],[Cost Price]]</f>
        <v>14.61</v>
      </c>
    </row>
    <row r="541" spans="1:6" x14ac:dyDescent="0.35">
      <c r="A541" s="3" t="s">
        <v>5</v>
      </c>
      <c r="B541" s="27">
        <v>87.48</v>
      </c>
      <c r="C541" s="1">
        <v>6</v>
      </c>
      <c r="D541" s="31">
        <f>Table_supermarket_sales___Sheet1[[#This Row],[Cost Price]]+Table57[[#This Row],[Markup Cost]]</f>
        <v>113.724</v>
      </c>
      <c r="E541" s="1">
        <v>6</v>
      </c>
      <c r="F541" s="20">
        <f>Table_supermarket_sales___Sheet13[[#This Row],[Selling Price]]-Table_supermarket_sales___Sheet13[[#This Row],[Cost Price]]</f>
        <v>26.244</v>
      </c>
    </row>
    <row r="542" spans="1:6" x14ac:dyDescent="0.35">
      <c r="A542" s="3" t="s">
        <v>3</v>
      </c>
      <c r="B542" s="27">
        <v>30.68</v>
      </c>
      <c r="C542" s="1">
        <v>3</v>
      </c>
      <c r="D542" s="31">
        <f>Table_supermarket_sales___Sheet1[[#This Row],[Cost Price]]+Table57[[#This Row],[Markup Cost]]</f>
        <v>35.281999999999996</v>
      </c>
      <c r="E542" s="4">
        <v>3</v>
      </c>
      <c r="F542" s="20">
        <f>Table_supermarket_sales___Sheet13[[#This Row],[Selling Price]]-Table_supermarket_sales___Sheet13[[#This Row],[Cost Price]]</f>
        <v>4.6019999999999968</v>
      </c>
    </row>
    <row r="543" spans="1:6" x14ac:dyDescent="0.35">
      <c r="A543" s="3" t="s">
        <v>1</v>
      </c>
      <c r="B543" s="27">
        <v>75.88</v>
      </c>
      <c r="C543" s="1">
        <v>1</v>
      </c>
      <c r="D543" s="31">
        <f>Table_supermarket_sales___Sheet1[[#This Row],[Cost Price]]+Table57[[#This Row],[Markup Cost]]</f>
        <v>79.673999999999992</v>
      </c>
      <c r="E543" s="1">
        <v>1</v>
      </c>
      <c r="F543" s="20">
        <f>Table_supermarket_sales___Sheet13[[#This Row],[Selling Price]]-Table_supermarket_sales___Sheet13[[#This Row],[Cost Price]]</f>
        <v>3.7939999999999969</v>
      </c>
    </row>
    <row r="544" spans="1:6" x14ac:dyDescent="0.35">
      <c r="A544" s="3" t="s">
        <v>4</v>
      </c>
      <c r="B544" s="27">
        <v>20.18</v>
      </c>
      <c r="C544" s="1">
        <v>4</v>
      </c>
      <c r="D544" s="31">
        <f>Table_supermarket_sales___Sheet1[[#This Row],[Cost Price]]+Table57[[#This Row],[Markup Cost]]</f>
        <v>24.216000000000001</v>
      </c>
      <c r="E544" s="4">
        <v>4</v>
      </c>
      <c r="F544" s="20">
        <f>Table_supermarket_sales___Sheet13[[#This Row],[Selling Price]]-Table_supermarket_sales___Sheet13[[#This Row],[Cost Price]]</f>
        <v>4.0360000000000014</v>
      </c>
    </row>
    <row r="545" spans="1:6" x14ac:dyDescent="0.35">
      <c r="A545" s="3" t="s">
        <v>2</v>
      </c>
      <c r="B545" s="27">
        <v>18.77</v>
      </c>
      <c r="C545" s="1">
        <v>6</v>
      </c>
      <c r="D545" s="31">
        <f>Table_supermarket_sales___Sheet1[[#This Row],[Cost Price]]+Table57[[#This Row],[Markup Cost]]</f>
        <v>24.401</v>
      </c>
      <c r="E545" s="1">
        <v>6</v>
      </c>
      <c r="F545" s="20">
        <f>Table_supermarket_sales___Sheet13[[#This Row],[Selling Price]]-Table_supermarket_sales___Sheet13[[#This Row],[Cost Price]]</f>
        <v>5.6310000000000002</v>
      </c>
    </row>
    <row r="546" spans="1:6" x14ac:dyDescent="0.35">
      <c r="A546" s="3" t="s">
        <v>5</v>
      </c>
      <c r="B546" s="27">
        <v>71.2</v>
      </c>
      <c r="C546" s="1">
        <v>1</v>
      </c>
      <c r="D546" s="31">
        <f>Table_supermarket_sales___Sheet1[[#This Row],[Cost Price]]+Table57[[#This Row],[Markup Cost]]</f>
        <v>74.760000000000005</v>
      </c>
      <c r="E546" s="4">
        <v>1</v>
      </c>
      <c r="F546" s="20">
        <f>Table_supermarket_sales___Sheet13[[#This Row],[Selling Price]]-Table_supermarket_sales___Sheet13[[#This Row],[Cost Price]]</f>
        <v>3.5600000000000023</v>
      </c>
    </row>
    <row r="547" spans="1:6" x14ac:dyDescent="0.35">
      <c r="A547" s="3" t="s">
        <v>3</v>
      </c>
      <c r="B547" s="27">
        <v>38.81</v>
      </c>
      <c r="C547" s="1">
        <v>4</v>
      </c>
      <c r="D547" s="31">
        <f>Table_supermarket_sales___Sheet1[[#This Row],[Cost Price]]+Table57[[#This Row],[Markup Cost]]</f>
        <v>46.572000000000003</v>
      </c>
      <c r="E547" s="1">
        <v>4</v>
      </c>
      <c r="F547" s="20">
        <f>Table_supermarket_sales___Sheet13[[#This Row],[Selling Price]]-Table_supermarket_sales___Sheet13[[#This Row],[Cost Price]]</f>
        <v>7.7620000000000005</v>
      </c>
    </row>
    <row r="548" spans="1:6" x14ac:dyDescent="0.35">
      <c r="A548" s="3" t="s">
        <v>6</v>
      </c>
      <c r="B548" s="27">
        <v>29.42</v>
      </c>
      <c r="C548" s="1">
        <v>10</v>
      </c>
      <c r="D548" s="31">
        <f>Table_supermarket_sales___Sheet1[[#This Row],[Cost Price]]+Table57[[#This Row],[Markup Cost]]</f>
        <v>44.13</v>
      </c>
      <c r="E548" s="4">
        <v>10</v>
      </c>
      <c r="F548" s="20">
        <f>Table_supermarket_sales___Sheet13[[#This Row],[Selling Price]]-Table_supermarket_sales___Sheet13[[#This Row],[Cost Price]]</f>
        <v>14.71</v>
      </c>
    </row>
    <row r="549" spans="1:6" x14ac:dyDescent="0.35">
      <c r="A549" s="3" t="s">
        <v>4</v>
      </c>
      <c r="B549" s="27">
        <v>60.95</v>
      </c>
      <c r="C549" s="1">
        <v>9</v>
      </c>
      <c r="D549" s="31">
        <f>Table_supermarket_sales___Sheet1[[#This Row],[Cost Price]]+Table57[[#This Row],[Markup Cost]]</f>
        <v>88.377499999999998</v>
      </c>
      <c r="E549" s="1">
        <v>9</v>
      </c>
      <c r="F549" s="20">
        <f>Table_supermarket_sales___Sheet13[[#This Row],[Selling Price]]-Table_supermarket_sales___Sheet13[[#This Row],[Cost Price]]</f>
        <v>27.427499999999995</v>
      </c>
    </row>
    <row r="550" spans="1:6" x14ac:dyDescent="0.35">
      <c r="A550" s="3" t="s">
        <v>4</v>
      </c>
      <c r="B550" s="27">
        <v>51.54</v>
      </c>
      <c r="C550" s="1">
        <v>5</v>
      </c>
      <c r="D550" s="31">
        <f>Table_supermarket_sales___Sheet1[[#This Row],[Cost Price]]+Table57[[#This Row],[Markup Cost]]</f>
        <v>64.424999999999997</v>
      </c>
      <c r="E550" s="4">
        <v>5</v>
      </c>
      <c r="F550" s="20">
        <f>Table_supermarket_sales___Sheet13[[#This Row],[Selling Price]]-Table_supermarket_sales___Sheet13[[#This Row],[Cost Price]]</f>
        <v>12.884999999999998</v>
      </c>
    </row>
    <row r="551" spans="1:6" x14ac:dyDescent="0.35">
      <c r="A551" s="3" t="s">
        <v>2</v>
      </c>
      <c r="B551" s="27">
        <v>66.06</v>
      </c>
      <c r="C551" s="1">
        <v>6</v>
      </c>
      <c r="D551" s="31">
        <f>Table_supermarket_sales___Sheet1[[#This Row],[Cost Price]]+Table57[[#This Row],[Markup Cost]]</f>
        <v>85.878</v>
      </c>
      <c r="E551" s="1">
        <v>6</v>
      </c>
      <c r="F551" s="20">
        <f>Table_supermarket_sales___Sheet13[[#This Row],[Selling Price]]-Table_supermarket_sales___Sheet13[[#This Row],[Cost Price]]</f>
        <v>19.817999999999998</v>
      </c>
    </row>
    <row r="552" spans="1:6" x14ac:dyDescent="0.35">
      <c r="A552" s="3" t="s">
        <v>6</v>
      </c>
      <c r="B552" s="27">
        <v>57.27</v>
      </c>
      <c r="C552" s="1">
        <v>3</v>
      </c>
      <c r="D552" s="31">
        <f>Table_supermarket_sales___Sheet1[[#This Row],[Cost Price]]+Table57[[#This Row],[Markup Cost]]</f>
        <v>65.860500000000002</v>
      </c>
      <c r="E552" s="4">
        <v>3</v>
      </c>
      <c r="F552" s="20">
        <f>Table_supermarket_sales___Sheet13[[#This Row],[Selling Price]]-Table_supermarket_sales___Sheet13[[#This Row],[Cost Price]]</f>
        <v>8.5904999999999987</v>
      </c>
    </row>
    <row r="553" spans="1:6" x14ac:dyDescent="0.35">
      <c r="A553" s="3" t="s">
        <v>6</v>
      </c>
      <c r="B553" s="27">
        <v>54.31</v>
      </c>
      <c r="C553" s="1">
        <v>9</v>
      </c>
      <c r="D553" s="31">
        <f>Table_supermarket_sales___Sheet1[[#This Row],[Cost Price]]+Table57[[#This Row],[Markup Cost]]</f>
        <v>78.749499999999998</v>
      </c>
      <c r="E553" s="1">
        <v>9</v>
      </c>
      <c r="F553" s="20">
        <f>Table_supermarket_sales___Sheet13[[#This Row],[Selling Price]]-Table_supermarket_sales___Sheet13[[#This Row],[Cost Price]]</f>
        <v>24.439499999999995</v>
      </c>
    </row>
    <row r="554" spans="1:6" x14ac:dyDescent="0.35">
      <c r="A554" s="3" t="s">
        <v>1</v>
      </c>
      <c r="B554" s="27">
        <v>58.24</v>
      </c>
      <c r="C554" s="1">
        <v>9</v>
      </c>
      <c r="D554" s="31">
        <f>Table_supermarket_sales___Sheet1[[#This Row],[Cost Price]]+Table57[[#This Row],[Markup Cost]]</f>
        <v>84.448000000000008</v>
      </c>
      <c r="E554" s="4">
        <v>9</v>
      </c>
      <c r="F554" s="20">
        <f>Table_supermarket_sales___Sheet13[[#This Row],[Selling Price]]-Table_supermarket_sales___Sheet13[[#This Row],[Cost Price]]</f>
        <v>26.208000000000006</v>
      </c>
    </row>
    <row r="555" spans="1:6" x14ac:dyDescent="0.35">
      <c r="A555" s="3" t="s">
        <v>2</v>
      </c>
      <c r="B555" s="27">
        <v>22.21</v>
      </c>
      <c r="C555" s="1">
        <v>6</v>
      </c>
      <c r="D555" s="31">
        <f>Table_supermarket_sales___Sheet1[[#This Row],[Cost Price]]+Table57[[#This Row],[Markup Cost]]</f>
        <v>28.873000000000001</v>
      </c>
      <c r="E555" s="1">
        <v>6</v>
      </c>
      <c r="F555" s="20">
        <f>Table_supermarket_sales___Sheet13[[#This Row],[Selling Price]]-Table_supermarket_sales___Sheet13[[#This Row],[Cost Price]]</f>
        <v>6.6630000000000003</v>
      </c>
    </row>
    <row r="556" spans="1:6" x14ac:dyDescent="0.35">
      <c r="A556" s="3" t="s">
        <v>2</v>
      </c>
      <c r="B556" s="27">
        <v>19.32</v>
      </c>
      <c r="C556" s="1">
        <v>7</v>
      </c>
      <c r="D556" s="31">
        <f>Table_supermarket_sales___Sheet1[[#This Row],[Cost Price]]+Table57[[#This Row],[Markup Cost]]</f>
        <v>26.082000000000001</v>
      </c>
      <c r="E556" s="4">
        <v>7</v>
      </c>
      <c r="F556" s="20">
        <f>Table_supermarket_sales___Sheet13[[#This Row],[Selling Price]]-Table_supermarket_sales___Sheet13[[#This Row],[Cost Price]]</f>
        <v>6.7620000000000005</v>
      </c>
    </row>
    <row r="557" spans="1:6" x14ac:dyDescent="0.35">
      <c r="A557" s="3" t="s">
        <v>3</v>
      </c>
      <c r="B557" s="27">
        <v>37.479999999999997</v>
      </c>
      <c r="C557" s="1">
        <v>3</v>
      </c>
      <c r="D557" s="31">
        <f>Table_supermarket_sales___Sheet1[[#This Row],[Cost Price]]+Table57[[#This Row],[Markup Cost]]</f>
        <v>43.101999999999997</v>
      </c>
      <c r="E557" s="1">
        <v>3</v>
      </c>
      <c r="F557" s="20">
        <f>Table_supermarket_sales___Sheet13[[#This Row],[Selling Price]]-Table_supermarket_sales___Sheet13[[#This Row],[Cost Price]]</f>
        <v>5.6219999999999999</v>
      </c>
    </row>
    <row r="558" spans="1:6" x14ac:dyDescent="0.35">
      <c r="A558" s="3" t="s">
        <v>6</v>
      </c>
      <c r="B558" s="27">
        <v>72.040000000000006</v>
      </c>
      <c r="C558" s="1">
        <v>2</v>
      </c>
      <c r="D558" s="31">
        <f>Table_supermarket_sales___Sheet1[[#This Row],[Cost Price]]+Table57[[#This Row],[Markup Cost]]</f>
        <v>79.244</v>
      </c>
      <c r="E558" s="4">
        <v>2</v>
      </c>
      <c r="F558" s="20">
        <f>Table_supermarket_sales___Sheet13[[#This Row],[Selling Price]]-Table_supermarket_sales___Sheet13[[#This Row],[Cost Price]]</f>
        <v>7.2039999999999935</v>
      </c>
    </row>
    <row r="559" spans="1:6" x14ac:dyDescent="0.35">
      <c r="A559" s="3" t="s">
        <v>5</v>
      </c>
      <c r="B559" s="27">
        <v>98.52</v>
      </c>
      <c r="C559" s="1">
        <v>10</v>
      </c>
      <c r="D559" s="31">
        <f>Table_supermarket_sales___Sheet1[[#This Row],[Cost Price]]+Table57[[#This Row],[Markup Cost]]</f>
        <v>147.78</v>
      </c>
      <c r="E559" s="1">
        <v>10</v>
      </c>
      <c r="F559" s="20">
        <f>Table_supermarket_sales___Sheet13[[#This Row],[Selling Price]]-Table_supermarket_sales___Sheet13[[#This Row],[Cost Price]]</f>
        <v>49.260000000000005</v>
      </c>
    </row>
    <row r="560" spans="1:6" x14ac:dyDescent="0.35">
      <c r="A560" s="3" t="s">
        <v>5</v>
      </c>
      <c r="B560" s="27">
        <v>41.66</v>
      </c>
      <c r="C560" s="1">
        <v>6</v>
      </c>
      <c r="D560" s="31">
        <f>Table_supermarket_sales___Sheet1[[#This Row],[Cost Price]]+Table57[[#This Row],[Markup Cost]]</f>
        <v>54.157999999999994</v>
      </c>
      <c r="E560" s="4">
        <v>6</v>
      </c>
      <c r="F560" s="20">
        <f>Table_supermarket_sales___Sheet13[[#This Row],[Selling Price]]-Table_supermarket_sales___Sheet13[[#This Row],[Cost Price]]</f>
        <v>12.497999999999998</v>
      </c>
    </row>
    <row r="561" spans="1:6" x14ac:dyDescent="0.35">
      <c r="A561" s="3" t="s">
        <v>3</v>
      </c>
      <c r="B561" s="27">
        <v>72.42</v>
      </c>
      <c r="C561" s="1">
        <v>3</v>
      </c>
      <c r="D561" s="31">
        <f>Table_supermarket_sales___Sheet1[[#This Row],[Cost Price]]+Table57[[#This Row],[Markup Cost]]</f>
        <v>83.283000000000001</v>
      </c>
      <c r="E561" s="1">
        <v>3</v>
      </c>
      <c r="F561" s="20">
        <f>Table_supermarket_sales___Sheet13[[#This Row],[Selling Price]]-Table_supermarket_sales___Sheet13[[#This Row],[Cost Price]]</f>
        <v>10.863</v>
      </c>
    </row>
    <row r="562" spans="1:6" x14ac:dyDescent="0.35">
      <c r="A562" s="3" t="s">
        <v>2</v>
      </c>
      <c r="B562" s="27">
        <v>21.58</v>
      </c>
      <c r="C562" s="1">
        <v>9</v>
      </c>
      <c r="D562" s="31">
        <f>Table_supermarket_sales___Sheet1[[#This Row],[Cost Price]]+Table57[[#This Row],[Markup Cost]]</f>
        <v>31.290999999999997</v>
      </c>
      <c r="E562" s="4">
        <v>9</v>
      </c>
      <c r="F562" s="20">
        <f>Table_supermarket_sales___Sheet13[[#This Row],[Selling Price]]-Table_supermarket_sales___Sheet13[[#This Row],[Cost Price]]</f>
        <v>9.7109999999999985</v>
      </c>
    </row>
    <row r="563" spans="1:6" x14ac:dyDescent="0.35">
      <c r="A563" s="3" t="s">
        <v>5</v>
      </c>
      <c r="B563" s="27">
        <v>89.2</v>
      </c>
      <c r="C563" s="1">
        <v>10</v>
      </c>
      <c r="D563" s="31">
        <f>Table_supermarket_sales___Sheet1[[#This Row],[Cost Price]]+Table57[[#This Row],[Markup Cost]]</f>
        <v>133.80000000000001</v>
      </c>
      <c r="E563" s="1">
        <v>10</v>
      </c>
      <c r="F563" s="20">
        <f>Table_supermarket_sales___Sheet13[[#This Row],[Selling Price]]-Table_supermarket_sales___Sheet13[[#This Row],[Cost Price]]</f>
        <v>44.600000000000009</v>
      </c>
    </row>
    <row r="564" spans="1:6" x14ac:dyDescent="0.35">
      <c r="A564" s="3" t="s">
        <v>2</v>
      </c>
      <c r="B564" s="27">
        <v>42.42</v>
      </c>
      <c r="C564" s="1">
        <v>8</v>
      </c>
      <c r="D564" s="31">
        <f>Table_supermarket_sales___Sheet1[[#This Row],[Cost Price]]+Table57[[#This Row],[Markup Cost]]</f>
        <v>59.388000000000005</v>
      </c>
      <c r="E564" s="4">
        <v>8</v>
      </c>
      <c r="F564" s="20">
        <f>Table_supermarket_sales___Sheet13[[#This Row],[Selling Price]]-Table_supermarket_sales___Sheet13[[#This Row],[Cost Price]]</f>
        <v>16.968000000000004</v>
      </c>
    </row>
    <row r="565" spans="1:6" x14ac:dyDescent="0.35">
      <c r="A565" s="3" t="s">
        <v>2</v>
      </c>
      <c r="B565" s="27">
        <v>74.510000000000005</v>
      </c>
      <c r="C565" s="1">
        <v>6</v>
      </c>
      <c r="D565" s="31">
        <f>Table_supermarket_sales___Sheet1[[#This Row],[Cost Price]]+Table57[[#This Row],[Markup Cost]]</f>
        <v>96.863</v>
      </c>
      <c r="E565" s="1">
        <v>6</v>
      </c>
      <c r="F565" s="20">
        <f>Table_supermarket_sales___Sheet13[[#This Row],[Selling Price]]-Table_supermarket_sales___Sheet13[[#This Row],[Cost Price]]</f>
        <v>22.352999999999994</v>
      </c>
    </row>
    <row r="566" spans="1:6" x14ac:dyDescent="0.35">
      <c r="A566" s="3" t="s">
        <v>6</v>
      </c>
      <c r="B566" s="27">
        <v>99.25</v>
      </c>
      <c r="C566" s="1">
        <v>2</v>
      </c>
      <c r="D566" s="31">
        <f>Table_supermarket_sales___Sheet1[[#This Row],[Cost Price]]+Table57[[#This Row],[Markup Cost]]</f>
        <v>109.175</v>
      </c>
      <c r="E566" s="4">
        <v>2</v>
      </c>
      <c r="F566" s="20">
        <f>Table_supermarket_sales___Sheet13[[#This Row],[Selling Price]]-Table_supermarket_sales___Sheet13[[#This Row],[Cost Price]]</f>
        <v>9.9249999999999972</v>
      </c>
    </row>
    <row r="567" spans="1:6" x14ac:dyDescent="0.35">
      <c r="A567" s="3" t="s">
        <v>5</v>
      </c>
      <c r="B567" s="27">
        <v>81.209999999999994</v>
      </c>
      <c r="C567" s="1">
        <v>10</v>
      </c>
      <c r="D567" s="31">
        <f>Table_supermarket_sales___Sheet1[[#This Row],[Cost Price]]+Table57[[#This Row],[Markup Cost]]</f>
        <v>121.815</v>
      </c>
      <c r="E567" s="1">
        <v>10</v>
      </c>
      <c r="F567" s="20">
        <f>Table_supermarket_sales___Sheet13[[#This Row],[Selling Price]]-Table_supermarket_sales___Sheet13[[#This Row],[Cost Price]]</f>
        <v>40.605000000000004</v>
      </c>
    </row>
    <row r="568" spans="1:6" x14ac:dyDescent="0.35">
      <c r="A568" s="3" t="s">
        <v>4</v>
      </c>
      <c r="B568" s="27">
        <v>49.33</v>
      </c>
      <c r="C568" s="1">
        <v>10</v>
      </c>
      <c r="D568" s="31">
        <f>Table_supermarket_sales___Sheet1[[#This Row],[Cost Price]]+Table57[[#This Row],[Markup Cost]]</f>
        <v>73.995000000000005</v>
      </c>
      <c r="E568" s="4">
        <v>10</v>
      </c>
      <c r="F568" s="20">
        <f>Table_supermarket_sales___Sheet13[[#This Row],[Selling Price]]-Table_supermarket_sales___Sheet13[[#This Row],[Cost Price]]</f>
        <v>24.665000000000006</v>
      </c>
    </row>
    <row r="569" spans="1:6" x14ac:dyDescent="0.35">
      <c r="A569" s="3" t="s">
        <v>6</v>
      </c>
      <c r="B569" s="27">
        <v>65.739999999999995</v>
      </c>
      <c r="C569" s="1">
        <v>9</v>
      </c>
      <c r="D569" s="31">
        <f>Table_supermarket_sales___Sheet1[[#This Row],[Cost Price]]+Table57[[#This Row],[Markup Cost]]</f>
        <v>95.322999999999993</v>
      </c>
      <c r="E569" s="1">
        <v>9</v>
      </c>
      <c r="F569" s="20">
        <f>Table_supermarket_sales___Sheet13[[#This Row],[Selling Price]]-Table_supermarket_sales___Sheet13[[#This Row],[Cost Price]]</f>
        <v>29.582999999999998</v>
      </c>
    </row>
    <row r="570" spans="1:6" x14ac:dyDescent="0.35">
      <c r="A570" s="3" t="s">
        <v>6</v>
      </c>
      <c r="B570" s="27">
        <v>79.86</v>
      </c>
      <c r="C570" s="1">
        <v>7</v>
      </c>
      <c r="D570" s="31">
        <f>Table_supermarket_sales___Sheet1[[#This Row],[Cost Price]]+Table57[[#This Row],[Markup Cost]]</f>
        <v>107.81100000000001</v>
      </c>
      <c r="E570" s="4">
        <v>7</v>
      </c>
      <c r="F570" s="20">
        <f>Table_supermarket_sales___Sheet13[[#This Row],[Selling Price]]-Table_supermarket_sales___Sheet13[[#This Row],[Cost Price]]</f>
        <v>27.951000000000008</v>
      </c>
    </row>
    <row r="571" spans="1:6" x14ac:dyDescent="0.35">
      <c r="A571" s="3" t="s">
        <v>4</v>
      </c>
      <c r="B571" s="27">
        <v>73.98</v>
      </c>
      <c r="C571" s="1">
        <v>7</v>
      </c>
      <c r="D571" s="31">
        <f>Table_supermarket_sales___Sheet1[[#This Row],[Cost Price]]+Table57[[#This Row],[Markup Cost]]</f>
        <v>99.873000000000005</v>
      </c>
      <c r="E571" s="1">
        <v>7</v>
      </c>
      <c r="F571" s="20">
        <f>Table_supermarket_sales___Sheet13[[#This Row],[Selling Price]]-Table_supermarket_sales___Sheet13[[#This Row],[Cost Price]]</f>
        <v>25.893000000000001</v>
      </c>
    </row>
    <row r="572" spans="1:6" x14ac:dyDescent="0.35">
      <c r="A572" s="3" t="s">
        <v>3</v>
      </c>
      <c r="B572" s="27">
        <v>82.04</v>
      </c>
      <c r="C572" s="1">
        <v>5</v>
      </c>
      <c r="D572" s="31">
        <f>Table_supermarket_sales___Sheet1[[#This Row],[Cost Price]]+Table57[[#This Row],[Markup Cost]]</f>
        <v>102.55000000000001</v>
      </c>
      <c r="E572" s="4">
        <v>5</v>
      </c>
      <c r="F572" s="20">
        <f>Table_supermarket_sales___Sheet13[[#This Row],[Selling Price]]-Table_supermarket_sales___Sheet13[[#This Row],[Cost Price]]</f>
        <v>20.510000000000005</v>
      </c>
    </row>
    <row r="573" spans="1:6" x14ac:dyDescent="0.35">
      <c r="A573" s="3" t="s">
        <v>4</v>
      </c>
      <c r="B573" s="27">
        <v>26.67</v>
      </c>
      <c r="C573" s="1">
        <v>10</v>
      </c>
      <c r="D573" s="31">
        <f>Table_supermarket_sales___Sheet1[[#This Row],[Cost Price]]+Table57[[#This Row],[Markup Cost]]</f>
        <v>40.005000000000003</v>
      </c>
      <c r="E573" s="1">
        <v>10</v>
      </c>
      <c r="F573" s="20">
        <f>Table_supermarket_sales___Sheet13[[#This Row],[Selling Price]]-Table_supermarket_sales___Sheet13[[#This Row],[Cost Price]]</f>
        <v>13.335000000000001</v>
      </c>
    </row>
    <row r="574" spans="1:6" x14ac:dyDescent="0.35">
      <c r="A574" s="3" t="s">
        <v>5</v>
      </c>
      <c r="B574" s="27">
        <v>10.130000000000001</v>
      </c>
      <c r="C574" s="1">
        <v>7</v>
      </c>
      <c r="D574" s="31">
        <f>Table_supermarket_sales___Sheet1[[#This Row],[Cost Price]]+Table57[[#This Row],[Markup Cost]]</f>
        <v>13.675500000000001</v>
      </c>
      <c r="E574" s="4">
        <v>7</v>
      </c>
      <c r="F574" s="20">
        <f>Table_supermarket_sales___Sheet13[[#This Row],[Selling Price]]-Table_supermarket_sales___Sheet13[[#This Row],[Cost Price]]</f>
        <v>3.5455000000000005</v>
      </c>
    </row>
    <row r="575" spans="1:6" x14ac:dyDescent="0.35">
      <c r="A575" s="3" t="s">
        <v>5</v>
      </c>
      <c r="B575" s="27">
        <v>72.39</v>
      </c>
      <c r="C575" s="1">
        <v>2</v>
      </c>
      <c r="D575" s="31">
        <f>Table_supermarket_sales___Sheet1[[#This Row],[Cost Price]]+Table57[[#This Row],[Markup Cost]]</f>
        <v>79.629000000000005</v>
      </c>
      <c r="E575" s="1">
        <v>2</v>
      </c>
      <c r="F575" s="20">
        <f>Table_supermarket_sales___Sheet13[[#This Row],[Selling Price]]-Table_supermarket_sales___Sheet13[[#This Row],[Cost Price]]</f>
        <v>7.2390000000000043</v>
      </c>
    </row>
    <row r="576" spans="1:6" x14ac:dyDescent="0.35">
      <c r="A576" s="3" t="s">
        <v>4</v>
      </c>
      <c r="B576" s="27">
        <v>85.91</v>
      </c>
      <c r="C576" s="1">
        <v>5</v>
      </c>
      <c r="D576" s="31">
        <f>Table_supermarket_sales___Sheet1[[#This Row],[Cost Price]]+Table57[[#This Row],[Markup Cost]]</f>
        <v>107.38749999999999</v>
      </c>
      <c r="E576" s="4">
        <v>5</v>
      </c>
      <c r="F576" s="20">
        <f>Table_supermarket_sales___Sheet13[[#This Row],[Selling Price]]-Table_supermarket_sales___Sheet13[[#This Row],[Cost Price]]</f>
        <v>21.477499999999992</v>
      </c>
    </row>
    <row r="577" spans="1:6" x14ac:dyDescent="0.35">
      <c r="A577" s="3" t="s">
        <v>6</v>
      </c>
      <c r="B577" s="27">
        <v>81.31</v>
      </c>
      <c r="C577" s="1">
        <v>7</v>
      </c>
      <c r="D577" s="31">
        <f>Table_supermarket_sales___Sheet1[[#This Row],[Cost Price]]+Table57[[#This Row],[Markup Cost]]</f>
        <v>109.7685</v>
      </c>
      <c r="E577" s="1">
        <v>7</v>
      </c>
      <c r="F577" s="20">
        <f>Table_supermarket_sales___Sheet13[[#This Row],[Selling Price]]-Table_supermarket_sales___Sheet13[[#This Row],[Cost Price]]</f>
        <v>28.458500000000001</v>
      </c>
    </row>
    <row r="578" spans="1:6" x14ac:dyDescent="0.35">
      <c r="A578" s="3" t="s">
        <v>5</v>
      </c>
      <c r="B578" s="27">
        <v>60.3</v>
      </c>
      <c r="C578" s="1">
        <v>4</v>
      </c>
      <c r="D578" s="31">
        <f>Table_supermarket_sales___Sheet1[[#This Row],[Cost Price]]+Table57[[#This Row],[Markup Cost]]</f>
        <v>72.36</v>
      </c>
      <c r="E578" s="4">
        <v>4</v>
      </c>
      <c r="F578" s="20">
        <f>Table_supermarket_sales___Sheet13[[#This Row],[Selling Price]]-Table_supermarket_sales___Sheet13[[#This Row],[Cost Price]]</f>
        <v>12.060000000000002</v>
      </c>
    </row>
    <row r="579" spans="1:6" x14ac:dyDescent="0.35">
      <c r="A579" s="3" t="s">
        <v>5</v>
      </c>
      <c r="B579" s="27">
        <v>31.77</v>
      </c>
      <c r="C579" s="1">
        <v>4</v>
      </c>
      <c r="D579" s="31">
        <f>Table_supermarket_sales___Sheet1[[#This Row],[Cost Price]]+Table57[[#This Row],[Markup Cost]]</f>
        <v>38.124000000000002</v>
      </c>
      <c r="E579" s="1">
        <v>4</v>
      </c>
      <c r="F579" s="20">
        <f>Table_supermarket_sales___Sheet13[[#This Row],[Selling Price]]-Table_supermarket_sales___Sheet13[[#This Row],[Cost Price]]</f>
        <v>6.3540000000000028</v>
      </c>
    </row>
    <row r="580" spans="1:6" x14ac:dyDescent="0.35">
      <c r="A580" s="3" t="s">
        <v>1</v>
      </c>
      <c r="B580" s="27">
        <v>64.27</v>
      </c>
      <c r="C580" s="1">
        <v>4</v>
      </c>
      <c r="D580" s="31">
        <f>Table_supermarket_sales___Sheet1[[#This Row],[Cost Price]]+Table57[[#This Row],[Markup Cost]]</f>
        <v>77.123999999999995</v>
      </c>
      <c r="E580" s="4">
        <v>4</v>
      </c>
      <c r="F580" s="20">
        <f>Table_supermarket_sales___Sheet13[[#This Row],[Selling Price]]-Table_supermarket_sales___Sheet13[[#This Row],[Cost Price]]</f>
        <v>12.853999999999999</v>
      </c>
    </row>
    <row r="581" spans="1:6" x14ac:dyDescent="0.35">
      <c r="A581" s="3" t="s">
        <v>1</v>
      </c>
      <c r="B581" s="27">
        <v>69.510000000000005</v>
      </c>
      <c r="C581" s="1">
        <v>2</v>
      </c>
      <c r="D581" s="31">
        <f>Table_supermarket_sales___Sheet1[[#This Row],[Cost Price]]+Table57[[#This Row],[Markup Cost]]</f>
        <v>76.460999999999999</v>
      </c>
      <c r="E581" s="1">
        <v>2</v>
      </c>
      <c r="F581" s="20">
        <f>Table_supermarket_sales___Sheet13[[#This Row],[Selling Price]]-Table_supermarket_sales___Sheet13[[#This Row],[Cost Price]]</f>
        <v>6.9509999999999934</v>
      </c>
    </row>
    <row r="582" spans="1:6" x14ac:dyDescent="0.35">
      <c r="A582" s="3" t="s">
        <v>5</v>
      </c>
      <c r="B582" s="27">
        <v>27.22</v>
      </c>
      <c r="C582" s="1">
        <v>3</v>
      </c>
      <c r="D582" s="31">
        <f>Table_supermarket_sales___Sheet1[[#This Row],[Cost Price]]+Table57[[#This Row],[Markup Cost]]</f>
        <v>31.302999999999997</v>
      </c>
      <c r="E582" s="4">
        <v>3</v>
      </c>
      <c r="F582" s="20">
        <f>Table_supermarket_sales___Sheet13[[#This Row],[Selling Price]]-Table_supermarket_sales___Sheet13[[#This Row],[Cost Price]]</f>
        <v>4.0829999999999984</v>
      </c>
    </row>
    <row r="583" spans="1:6" x14ac:dyDescent="0.35">
      <c r="A583" s="3" t="s">
        <v>1</v>
      </c>
      <c r="B583" s="27">
        <v>77.680000000000007</v>
      </c>
      <c r="C583" s="1">
        <v>4</v>
      </c>
      <c r="D583" s="31">
        <f>Table_supermarket_sales___Sheet1[[#This Row],[Cost Price]]+Table57[[#This Row],[Markup Cost]]</f>
        <v>93.216000000000008</v>
      </c>
      <c r="E583" s="1">
        <v>4</v>
      </c>
      <c r="F583" s="20">
        <f>Table_supermarket_sales___Sheet13[[#This Row],[Selling Price]]-Table_supermarket_sales___Sheet13[[#This Row],[Cost Price]]</f>
        <v>15.536000000000001</v>
      </c>
    </row>
    <row r="584" spans="1:6" x14ac:dyDescent="0.35">
      <c r="A584" s="3" t="s">
        <v>6</v>
      </c>
      <c r="B584" s="27">
        <v>92.98</v>
      </c>
      <c r="C584" s="1">
        <v>2</v>
      </c>
      <c r="D584" s="31">
        <f>Table_supermarket_sales___Sheet1[[#This Row],[Cost Price]]+Table57[[#This Row],[Markup Cost]]</f>
        <v>102.27800000000001</v>
      </c>
      <c r="E584" s="4">
        <v>2</v>
      </c>
      <c r="F584" s="20">
        <f>Table_supermarket_sales___Sheet13[[#This Row],[Selling Price]]-Table_supermarket_sales___Sheet13[[#This Row],[Cost Price]]</f>
        <v>9.2980000000000018</v>
      </c>
    </row>
    <row r="585" spans="1:6" x14ac:dyDescent="0.35">
      <c r="A585" s="3" t="s">
        <v>6</v>
      </c>
      <c r="B585" s="27">
        <v>18.079999999999998</v>
      </c>
      <c r="C585" s="1">
        <v>4</v>
      </c>
      <c r="D585" s="31">
        <f>Table_supermarket_sales___Sheet1[[#This Row],[Cost Price]]+Table57[[#This Row],[Markup Cost]]</f>
        <v>21.695999999999998</v>
      </c>
      <c r="E585" s="1">
        <v>4</v>
      </c>
      <c r="F585" s="20">
        <f>Table_supermarket_sales___Sheet13[[#This Row],[Selling Price]]-Table_supermarket_sales___Sheet13[[#This Row],[Cost Price]]</f>
        <v>3.6159999999999997</v>
      </c>
    </row>
    <row r="586" spans="1:6" x14ac:dyDescent="0.35">
      <c r="A586" s="3" t="s">
        <v>4</v>
      </c>
      <c r="B586" s="27">
        <v>63.06</v>
      </c>
      <c r="C586" s="1">
        <v>3</v>
      </c>
      <c r="D586" s="31">
        <f>Table_supermarket_sales___Sheet1[[#This Row],[Cost Price]]+Table57[[#This Row],[Markup Cost]]</f>
        <v>72.519000000000005</v>
      </c>
      <c r="E586" s="4">
        <v>3</v>
      </c>
      <c r="F586" s="20">
        <f>Table_supermarket_sales___Sheet13[[#This Row],[Selling Price]]-Table_supermarket_sales___Sheet13[[#This Row],[Cost Price]]</f>
        <v>9.4590000000000032</v>
      </c>
    </row>
    <row r="587" spans="1:6" x14ac:dyDescent="0.35">
      <c r="A587" s="3" t="s">
        <v>1</v>
      </c>
      <c r="B587" s="27">
        <v>51.71</v>
      </c>
      <c r="C587" s="1">
        <v>4</v>
      </c>
      <c r="D587" s="31">
        <f>Table_supermarket_sales___Sheet1[[#This Row],[Cost Price]]+Table57[[#This Row],[Markup Cost]]</f>
        <v>62.052</v>
      </c>
      <c r="E587" s="1">
        <v>4</v>
      </c>
      <c r="F587" s="20">
        <f>Table_supermarket_sales___Sheet13[[#This Row],[Selling Price]]-Table_supermarket_sales___Sheet13[[#This Row],[Cost Price]]</f>
        <v>10.341999999999999</v>
      </c>
    </row>
    <row r="588" spans="1:6" x14ac:dyDescent="0.35">
      <c r="A588" s="3" t="s">
        <v>5</v>
      </c>
      <c r="B588" s="27">
        <v>52.34</v>
      </c>
      <c r="C588" s="1">
        <v>3</v>
      </c>
      <c r="D588" s="31">
        <f>Table_supermarket_sales___Sheet1[[#This Row],[Cost Price]]+Table57[[#This Row],[Markup Cost]]</f>
        <v>60.191000000000003</v>
      </c>
      <c r="E588" s="4">
        <v>3</v>
      </c>
      <c r="F588" s="20">
        <f>Table_supermarket_sales___Sheet13[[#This Row],[Selling Price]]-Table_supermarket_sales___Sheet13[[#This Row],[Cost Price]]</f>
        <v>7.8509999999999991</v>
      </c>
    </row>
    <row r="589" spans="1:6" x14ac:dyDescent="0.35">
      <c r="A589" s="3" t="s">
        <v>4</v>
      </c>
      <c r="B589" s="27">
        <v>43.06</v>
      </c>
      <c r="C589" s="1">
        <v>5</v>
      </c>
      <c r="D589" s="31">
        <f>Table_supermarket_sales___Sheet1[[#This Row],[Cost Price]]+Table57[[#This Row],[Markup Cost]]</f>
        <v>53.825000000000003</v>
      </c>
      <c r="E589" s="1">
        <v>5</v>
      </c>
      <c r="F589" s="20">
        <f>Table_supermarket_sales___Sheet13[[#This Row],[Selling Price]]-Table_supermarket_sales___Sheet13[[#This Row],[Cost Price]]</f>
        <v>10.765000000000001</v>
      </c>
    </row>
    <row r="590" spans="1:6" x14ac:dyDescent="0.35">
      <c r="A590" s="3" t="s">
        <v>6</v>
      </c>
      <c r="B590" s="27">
        <v>59.61</v>
      </c>
      <c r="C590" s="1">
        <v>10</v>
      </c>
      <c r="D590" s="31">
        <f>Table_supermarket_sales___Sheet1[[#This Row],[Cost Price]]+Table57[[#This Row],[Markup Cost]]</f>
        <v>89.414999999999992</v>
      </c>
      <c r="E590" s="4">
        <v>10</v>
      </c>
      <c r="F590" s="20">
        <f>Table_supermarket_sales___Sheet13[[#This Row],[Selling Price]]-Table_supermarket_sales___Sheet13[[#This Row],[Cost Price]]</f>
        <v>29.804999999999993</v>
      </c>
    </row>
    <row r="591" spans="1:6" x14ac:dyDescent="0.35">
      <c r="A591" s="3" t="s">
        <v>1</v>
      </c>
      <c r="B591" s="27">
        <v>14.62</v>
      </c>
      <c r="C591" s="1">
        <v>5</v>
      </c>
      <c r="D591" s="31">
        <f>Table_supermarket_sales___Sheet1[[#This Row],[Cost Price]]+Table57[[#This Row],[Markup Cost]]</f>
        <v>18.274999999999999</v>
      </c>
      <c r="E591" s="1">
        <v>5</v>
      </c>
      <c r="F591" s="20">
        <f>Table_supermarket_sales___Sheet13[[#This Row],[Selling Price]]-Table_supermarket_sales___Sheet13[[#This Row],[Cost Price]]</f>
        <v>3.6549999999999994</v>
      </c>
    </row>
    <row r="592" spans="1:6" x14ac:dyDescent="0.35">
      <c r="A592" s="3" t="s">
        <v>1</v>
      </c>
      <c r="B592" s="27">
        <v>46.53</v>
      </c>
      <c r="C592" s="1">
        <v>6</v>
      </c>
      <c r="D592" s="31">
        <f>Table_supermarket_sales___Sheet1[[#This Row],[Cost Price]]+Table57[[#This Row],[Markup Cost]]</f>
        <v>60.489000000000004</v>
      </c>
      <c r="E592" s="4">
        <v>6</v>
      </c>
      <c r="F592" s="20">
        <f>Table_supermarket_sales___Sheet13[[#This Row],[Selling Price]]-Table_supermarket_sales___Sheet13[[#This Row],[Cost Price]]</f>
        <v>13.959000000000003</v>
      </c>
    </row>
    <row r="593" spans="1:6" x14ac:dyDescent="0.35">
      <c r="A593" s="3" t="s">
        <v>3</v>
      </c>
      <c r="B593" s="27">
        <v>24.24</v>
      </c>
      <c r="C593" s="1">
        <v>7</v>
      </c>
      <c r="D593" s="31">
        <f>Table_supermarket_sales___Sheet1[[#This Row],[Cost Price]]+Table57[[#This Row],[Markup Cost]]</f>
        <v>32.723999999999997</v>
      </c>
      <c r="E593" s="1">
        <v>7</v>
      </c>
      <c r="F593" s="20">
        <f>Table_supermarket_sales___Sheet13[[#This Row],[Selling Price]]-Table_supermarket_sales___Sheet13[[#This Row],[Cost Price]]</f>
        <v>8.4839999999999982</v>
      </c>
    </row>
    <row r="594" spans="1:6" x14ac:dyDescent="0.35">
      <c r="A594" s="3" t="s">
        <v>4</v>
      </c>
      <c r="B594" s="27">
        <v>45.58</v>
      </c>
      <c r="C594" s="1">
        <v>1</v>
      </c>
      <c r="D594" s="31">
        <f>Table_supermarket_sales___Sheet1[[#This Row],[Cost Price]]+Table57[[#This Row],[Markup Cost]]</f>
        <v>47.858999999999995</v>
      </c>
      <c r="E594" s="4">
        <v>1</v>
      </c>
      <c r="F594" s="20">
        <f>Table_supermarket_sales___Sheet13[[#This Row],[Selling Price]]-Table_supermarket_sales___Sheet13[[#This Row],[Cost Price]]</f>
        <v>2.2789999999999964</v>
      </c>
    </row>
    <row r="595" spans="1:6" x14ac:dyDescent="0.35">
      <c r="A595" s="3" t="s">
        <v>4</v>
      </c>
      <c r="B595" s="27">
        <v>75.2</v>
      </c>
      <c r="C595" s="1">
        <v>3</v>
      </c>
      <c r="D595" s="31">
        <f>Table_supermarket_sales___Sheet1[[#This Row],[Cost Price]]+Table57[[#This Row],[Markup Cost]]</f>
        <v>86.48</v>
      </c>
      <c r="E595" s="1">
        <v>3</v>
      </c>
      <c r="F595" s="20">
        <f>Table_supermarket_sales___Sheet13[[#This Row],[Selling Price]]-Table_supermarket_sales___Sheet13[[#This Row],[Cost Price]]</f>
        <v>11.280000000000001</v>
      </c>
    </row>
    <row r="596" spans="1:6" x14ac:dyDescent="0.35">
      <c r="A596" s="3" t="s">
        <v>4</v>
      </c>
      <c r="B596" s="27">
        <v>96.8</v>
      </c>
      <c r="C596" s="1">
        <v>3</v>
      </c>
      <c r="D596" s="31">
        <f>Table_supermarket_sales___Sheet1[[#This Row],[Cost Price]]+Table57[[#This Row],[Markup Cost]]</f>
        <v>111.32</v>
      </c>
      <c r="E596" s="4">
        <v>3</v>
      </c>
      <c r="F596" s="20">
        <f>Table_supermarket_sales___Sheet13[[#This Row],[Selling Price]]-Table_supermarket_sales___Sheet13[[#This Row],[Cost Price]]</f>
        <v>14.519999999999996</v>
      </c>
    </row>
    <row r="597" spans="1:6" x14ac:dyDescent="0.35">
      <c r="A597" s="3" t="s">
        <v>1</v>
      </c>
      <c r="B597" s="27">
        <v>14.82</v>
      </c>
      <c r="C597" s="1">
        <v>3</v>
      </c>
      <c r="D597" s="31">
        <f>Table_supermarket_sales___Sheet1[[#This Row],[Cost Price]]+Table57[[#This Row],[Markup Cost]]</f>
        <v>17.042999999999999</v>
      </c>
      <c r="E597" s="1">
        <v>3</v>
      </c>
      <c r="F597" s="20">
        <f>Table_supermarket_sales___Sheet13[[#This Row],[Selling Price]]-Table_supermarket_sales___Sheet13[[#This Row],[Cost Price]]</f>
        <v>2.222999999999999</v>
      </c>
    </row>
    <row r="598" spans="1:6" x14ac:dyDescent="0.35">
      <c r="A598" s="3" t="s">
        <v>5</v>
      </c>
      <c r="B598" s="27">
        <v>52.2</v>
      </c>
      <c r="C598" s="1">
        <v>3</v>
      </c>
      <c r="D598" s="31">
        <f>Table_supermarket_sales___Sheet1[[#This Row],[Cost Price]]+Table57[[#This Row],[Markup Cost]]</f>
        <v>60.03</v>
      </c>
      <c r="E598" s="4">
        <v>3</v>
      </c>
      <c r="F598" s="20">
        <f>Table_supermarket_sales___Sheet13[[#This Row],[Selling Price]]-Table_supermarket_sales___Sheet13[[#This Row],[Cost Price]]</f>
        <v>7.8299999999999983</v>
      </c>
    </row>
    <row r="599" spans="1:6" x14ac:dyDescent="0.35">
      <c r="A599" s="3" t="s">
        <v>4</v>
      </c>
      <c r="B599" s="27">
        <v>46.66</v>
      </c>
      <c r="C599" s="1">
        <v>9</v>
      </c>
      <c r="D599" s="31">
        <f>Table_supermarket_sales___Sheet1[[#This Row],[Cost Price]]+Table57[[#This Row],[Markup Cost]]</f>
        <v>67.656999999999996</v>
      </c>
      <c r="E599" s="1">
        <v>9</v>
      </c>
      <c r="F599" s="20">
        <f>Table_supermarket_sales___Sheet13[[#This Row],[Selling Price]]-Table_supermarket_sales___Sheet13[[#This Row],[Cost Price]]</f>
        <v>20.997</v>
      </c>
    </row>
    <row r="600" spans="1:6" x14ac:dyDescent="0.35">
      <c r="A600" s="3" t="s">
        <v>6</v>
      </c>
      <c r="B600" s="27">
        <v>36.85</v>
      </c>
      <c r="C600" s="1">
        <v>5</v>
      </c>
      <c r="D600" s="31">
        <f>Table_supermarket_sales___Sheet1[[#This Row],[Cost Price]]+Table57[[#This Row],[Markup Cost]]</f>
        <v>46.0625</v>
      </c>
      <c r="E600" s="4">
        <v>5</v>
      </c>
      <c r="F600" s="20">
        <f>Table_supermarket_sales___Sheet13[[#This Row],[Selling Price]]-Table_supermarket_sales___Sheet13[[#This Row],[Cost Price]]</f>
        <v>9.2124999999999986</v>
      </c>
    </row>
    <row r="601" spans="1:6" x14ac:dyDescent="0.35">
      <c r="A601" s="3" t="s">
        <v>3</v>
      </c>
      <c r="B601" s="27">
        <v>70.319999999999993</v>
      </c>
      <c r="C601" s="1">
        <v>2</v>
      </c>
      <c r="D601" s="31">
        <f>Table_supermarket_sales___Sheet1[[#This Row],[Cost Price]]+Table57[[#This Row],[Markup Cost]]</f>
        <v>77.35199999999999</v>
      </c>
      <c r="E601" s="1">
        <v>2</v>
      </c>
      <c r="F601" s="20">
        <f>Table_supermarket_sales___Sheet13[[#This Row],[Selling Price]]-Table_supermarket_sales___Sheet13[[#This Row],[Cost Price]]</f>
        <v>7.0319999999999965</v>
      </c>
    </row>
    <row r="602" spans="1:6" x14ac:dyDescent="0.35">
      <c r="A602" s="3" t="s">
        <v>2</v>
      </c>
      <c r="B602" s="27">
        <v>83.08</v>
      </c>
      <c r="C602" s="1">
        <v>1</v>
      </c>
      <c r="D602" s="31">
        <f>Table_supermarket_sales___Sheet1[[#This Row],[Cost Price]]+Table57[[#This Row],[Markup Cost]]</f>
        <v>87.233999999999995</v>
      </c>
      <c r="E602" s="4">
        <v>1</v>
      </c>
      <c r="F602" s="20">
        <f>Table_supermarket_sales___Sheet13[[#This Row],[Selling Price]]-Table_supermarket_sales___Sheet13[[#This Row],[Cost Price]]</f>
        <v>4.1539999999999964</v>
      </c>
    </row>
    <row r="603" spans="1:6" x14ac:dyDescent="0.35">
      <c r="A603" s="3" t="s">
        <v>6</v>
      </c>
      <c r="B603" s="27">
        <v>64.989999999999995</v>
      </c>
      <c r="C603" s="1">
        <v>1</v>
      </c>
      <c r="D603" s="31">
        <f>Table_supermarket_sales___Sheet1[[#This Row],[Cost Price]]+Table57[[#This Row],[Markup Cost]]</f>
        <v>68.239499999999992</v>
      </c>
      <c r="E603" s="1">
        <v>1</v>
      </c>
      <c r="F603" s="20">
        <f>Table_supermarket_sales___Sheet13[[#This Row],[Selling Price]]-Table_supermarket_sales___Sheet13[[#This Row],[Cost Price]]</f>
        <v>3.2494999999999976</v>
      </c>
    </row>
    <row r="604" spans="1:6" x14ac:dyDescent="0.35">
      <c r="A604" s="3" t="s">
        <v>5</v>
      </c>
      <c r="B604" s="27">
        <v>77.56</v>
      </c>
      <c r="C604" s="1">
        <v>10</v>
      </c>
      <c r="D604" s="31">
        <f>Table_supermarket_sales___Sheet1[[#This Row],[Cost Price]]+Table57[[#This Row],[Markup Cost]]</f>
        <v>116.34</v>
      </c>
      <c r="E604" s="4">
        <v>10</v>
      </c>
      <c r="F604" s="20">
        <f>Table_supermarket_sales___Sheet13[[#This Row],[Selling Price]]-Table_supermarket_sales___Sheet13[[#This Row],[Cost Price]]</f>
        <v>38.78</v>
      </c>
    </row>
    <row r="605" spans="1:6" x14ac:dyDescent="0.35">
      <c r="A605" s="3" t="s">
        <v>4</v>
      </c>
      <c r="B605" s="27">
        <v>54.51</v>
      </c>
      <c r="C605" s="1">
        <v>6</v>
      </c>
      <c r="D605" s="31">
        <f>Table_supermarket_sales___Sheet1[[#This Row],[Cost Price]]+Table57[[#This Row],[Markup Cost]]</f>
        <v>70.863</v>
      </c>
      <c r="E605" s="1">
        <v>6</v>
      </c>
      <c r="F605" s="20">
        <f>Table_supermarket_sales___Sheet13[[#This Row],[Selling Price]]-Table_supermarket_sales___Sheet13[[#This Row],[Cost Price]]</f>
        <v>16.353000000000002</v>
      </c>
    </row>
    <row r="606" spans="1:6" x14ac:dyDescent="0.35">
      <c r="A606" s="3" t="s">
        <v>6</v>
      </c>
      <c r="B606" s="27">
        <v>51.89</v>
      </c>
      <c r="C606" s="1">
        <v>7</v>
      </c>
      <c r="D606" s="31">
        <f>Table_supermarket_sales___Sheet1[[#This Row],[Cost Price]]+Table57[[#This Row],[Markup Cost]]</f>
        <v>70.051500000000004</v>
      </c>
      <c r="E606" s="4">
        <v>7</v>
      </c>
      <c r="F606" s="20">
        <f>Table_supermarket_sales___Sheet13[[#This Row],[Selling Price]]-Table_supermarket_sales___Sheet13[[#This Row],[Cost Price]]</f>
        <v>18.161500000000004</v>
      </c>
    </row>
    <row r="607" spans="1:6" x14ac:dyDescent="0.35">
      <c r="A607" s="3" t="s">
        <v>3</v>
      </c>
      <c r="B607" s="27">
        <v>31.75</v>
      </c>
      <c r="C607" s="1">
        <v>4</v>
      </c>
      <c r="D607" s="31">
        <f>Table_supermarket_sales___Sheet1[[#This Row],[Cost Price]]+Table57[[#This Row],[Markup Cost]]</f>
        <v>38.1</v>
      </c>
      <c r="E607" s="1">
        <v>4</v>
      </c>
      <c r="F607" s="20">
        <f>Table_supermarket_sales___Sheet13[[#This Row],[Selling Price]]-Table_supermarket_sales___Sheet13[[#This Row],[Cost Price]]</f>
        <v>6.3500000000000014</v>
      </c>
    </row>
    <row r="608" spans="1:6" x14ac:dyDescent="0.35">
      <c r="A608" s="3" t="s">
        <v>6</v>
      </c>
      <c r="B608" s="27">
        <v>53.65</v>
      </c>
      <c r="C608" s="1">
        <v>7</v>
      </c>
      <c r="D608" s="31">
        <f>Table_supermarket_sales___Sheet1[[#This Row],[Cost Price]]+Table57[[#This Row],[Markup Cost]]</f>
        <v>72.427499999999995</v>
      </c>
      <c r="E608" s="4">
        <v>7</v>
      </c>
      <c r="F608" s="20">
        <f>Table_supermarket_sales___Sheet13[[#This Row],[Selling Price]]-Table_supermarket_sales___Sheet13[[#This Row],[Cost Price]]</f>
        <v>18.777499999999996</v>
      </c>
    </row>
    <row r="609" spans="1:6" x14ac:dyDescent="0.35">
      <c r="A609" s="3" t="s">
        <v>5</v>
      </c>
      <c r="B609" s="27">
        <v>49.79</v>
      </c>
      <c r="C609" s="1">
        <v>4</v>
      </c>
      <c r="D609" s="31">
        <f>Table_supermarket_sales___Sheet1[[#This Row],[Cost Price]]+Table57[[#This Row],[Markup Cost]]</f>
        <v>59.747999999999998</v>
      </c>
      <c r="E609" s="1">
        <v>4</v>
      </c>
      <c r="F609" s="20">
        <f>Table_supermarket_sales___Sheet13[[#This Row],[Selling Price]]-Table_supermarket_sales___Sheet13[[#This Row],[Cost Price]]</f>
        <v>9.9579999999999984</v>
      </c>
    </row>
    <row r="610" spans="1:6" x14ac:dyDescent="0.35">
      <c r="A610" s="3" t="s">
        <v>6</v>
      </c>
      <c r="B610" s="27">
        <v>30.61</v>
      </c>
      <c r="C610" s="1">
        <v>1</v>
      </c>
      <c r="D610" s="31">
        <f>Table_supermarket_sales___Sheet1[[#This Row],[Cost Price]]+Table57[[#This Row],[Markup Cost]]</f>
        <v>32.140500000000003</v>
      </c>
      <c r="E610" s="4">
        <v>1</v>
      </c>
      <c r="F610" s="20">
        <f>Table_supermarket_sales___Sheet13[[#This Row],[Selling Price]]-Table_supermarket_sales___Sheet13[[#This Row],[Cost Price]]</f>
        <v>1.5305000000000035</v>
      </c>
    </row>
    <row r="611" spans="1:6" x14ac:dyDescent="0.35">
      <c r="A611" s="3" t="s">
        <v>5</v>
      </c>
      <c r="B611" s="27">
        <v>57.89</v>
      </c>
      <c r="C611" s="1">
        <v>2</v>
      </c>
      <c r="D611" s="31">
        <f>Table_supermarket_sales___Sheet1[[#This Row],[Cost Price]]+Table57[[#This Row],[Markup Cost]]</f>
        <v>63.679000000000002</v>
      </c>
      <c r="E611" s="1">
        <v>2</v>
      </c>
      <c r="F611" s="20">
        <f>Table_supermarket_sales___Sheet13[[#This Row],[Selling Price]]-Table_supermarket_sales___Sheet13[[#This Row],[Cost Price]]</f>
        <v>5.7890000000000015</v>
      </c>
    </row>
    <row r="612" spans="1:6" x14ac:dyDescent="0.35">
      <c r="A612" s="3" t="s">
        <v>2</v>
      </c>
      <c r="B612" s="27">
        <v>28.96</v>
      </c>
      <c r="C612" s="1">
        <v>1</v>
      </c>
      <c r="D612" s="31">
        <f>Table_supermarket_sales___Sheet1[[#This Row],[Cost Price]]+Table57[[#This Row],[Markup Cost]]</f>
        <v>30.408000000000001</v>
      </c>
      <c r="E612" s="4">
        <v>1</v>
      </c>
      <c r="F612" s="20">
        <f>Table_supermarket_sales___Sheet13[[#This Row],[Selling Price]]-Table_supermarket_sales___Sheet13[[#This Row],[Cost Price]]</f>
        <v>1.4480000000000004</v>
      </c>
    </row>
    <row r="613" spans="1:6" x14ac:dyDescent="0.35">
      <c r="A613" s="3" t="s">
        <v>5</v>
      </c>
      <c r="B613" s="27">
        <v>98.97</v>
      </c>
      <c r="C613" s="1">
        <v>9</v>
      </c>
      <c r="D613" s="31">
        <f>Table_supermarket_sales___Sheet1[[#This Row],[Cost Price]]+Table57[[#This Row],[Markup Cost]]</f>
        <v>143.50649999999999</v>
      </c>
      <c r="E613" s="1">
        <v>9</v>
      </c>
      <c r="F613" s="20">
        <f>Table_supermarket_sales___Sheet13[[#This Row],[Selling Price]]-Table_supermarket_sales___Sheet13[[#This Row],[Cost Price]]</f>
        <v>44.53649999999999</v>
      </c>
    </row>
    <row r="614" spans="1:6" x14ac:dyDescent="0.35">
      <c r="A614" s="3" t="s">
        <v>6</v>
      </c>
      <c r="B614" s="27">
        <v>93.22</v>
      </c>
      <c r="C614" s="1">
        <v>3</v>
      </c>
      <c r="D614" s="31">
        <f>Table_supermarket_sales___Sheet1[[#This Row],[Cost Price]]+Table57[[#This Row],[Markup Cost]]</f>
        <v>107.203</v>
      </c>
      <c r="E614" s="4">
        <v>3</v>
      </c>
      <c r="F614" s="20">
        <f>Table_supermarket_sales___Sheet13[[#This Row],[Selling Price]]-Table_supermarket_sales___Sheet13[[#This Row],[Cost Price]]</f>
        <v>13.983000000000004</v>
      </c>
    </row>
    <row r="615" spans="1:6" x14ac:dyDescent="0.35">
      <c r="A615" s="3" t="s">
        <v>4</v>
      </c>
      <c r="B615" s="27">
        <v>80.930000000000007</v>
      </c>
      <c r="C615" s="1">
        <v>1</v>
      </c>
      <c r="D615" s="31">
        <f>Table_supermarket_sales___Sheet1[[#This Row],[Cost Price]]+Table57[[#This Row],[Markup Cost]]</f>
        <v>84.976500000000001</v>
      </c>
      <c r="E615" s="1">
        <v>1</v>
      </c>
      <c r="F615" s="20">
        <f>Table_supermarket_sales___Sheet13[[#This Row],[Selling Price]]-Table_supermarket_sales___Sheet13[[#This Row],[Cost Price]]</f>
        <v>4.0464999999999947</v>
      </c>
    </row>
    <row r="616" spans="1:6" x14ac:dyDescent="0.35">
      <c r="A616" s="3" t="s">
        <v>5</v>
      </c>
      <c r="B616" s="27">
        <v>67.45</v>
      </c>
      <c r="C616" s="1">
        <v>10</v>
      </c>
      <c r="D616" s="31">
        <f>Table_supermarket_sales___Sheet1[[#This Row],[Cost Price]]+Table57[[#This Row],[Markup Cost]]</f>
        <v>101.17500000000001</v>
      </c>
      <c r="E616" s="4">
        <v>10</v>
      </c>
      <c r="F616" s="20">
        <f>Table_supermarket_sales___Sheet13[[#This Row],[Selling Price]]-Table_supermarket_sales___Sheet13[[#This Row],[Cost Price]]</f>
        <v>33.725000000000009</v>
      </c>
    </row>
    <row r="617" spans="1:6" x14ac:dyDescent="0.35">
      <c r="A617" s="3" t="s">
        <v>4</v>
      </c>
      <c r="B617" s="27">
        <v>38.72</v>
      </c>
      <c r="C617" s="1">
        <v>9</v>
      </c>
      <c r="D617" s="31">
        <f>Table_supermarket_sales___Sheet1[[#This Row],[Cost Price]]+Table57[[#This Row],[Markup Cost]]</f>
        <v>56.143999999999998</v>
      </c>
      <c r="E617" s="1">
        <v>9</v>
      </c>
      <c r="F617" s="20">
        <f>Table_supermarket_sales___Sheet13[[#This Row],[Selling Price]]-Table_supermarket_sales___Sheet13[[#This Row],[Cost Price]]</f>
        <v>17.423999999999999</v>
      </c>
    </row>
    <row r="618" spans="1:6" x14ac:dyDescent="0.35">
      <c r="A618" s="3" t="s">
        <v>4</v>
      </c>
      <c r="B618" s="27">
        <v>72.599999999999994</v>
      </c>
      <c r="C618" s="1">
        <v>6</v>
      </c>
      <c r="D618" s="31">
        <f>Table_supermarket_sales___Sheet1[[#This Row],[Cost Price]]+Table57[[#This Row],[Markup Cost]]</f>
        <v>94.38</v>
      </c>
      <c r="E618" s="4">
        <v>6</v>
      </c>
      <c r="F618" s="20">
        <f>Table_supermarket_sales___Sheet13[[#This Row],[Selling Price]]-Table_supermarket_sales___Sheet13[[#This Row],[Cost Price]]</f>
        <v>21.78</v>
      </c>
    </row>
    <row r="619" spans="1:6" x14ac:dyDescent="0.35">
      <c r="A619" s="3" t="s">
        <v>2</v>
      </c>
      <c r="B619" s="27">
        <v>87.91</v>
      </c>
      <c r="C619" s="1">
        <v>5</v>
      </c>
      <c r="D619" s="31">
        <f>Table_supermarket_sales___Sheet1[[#This Row],[Cost Price]]+Table57[[#This Row],[Markup Cost]]</f>
        <v>109.88749999999999</v>
      </c>
      <c r="E619" s="1">
        <v>5</v>
      </c>
      <c r="F619" s="20">
        <f>Table_supermarket_sales___Sheet13[[#This Row],[Selling Price]]-Table_supermarket_sales___Sheet13[[#This Row],[Cost Price]]</f>
        <v>21.977499999999992</v>
      </c>
    </row>
    <row r="620" spans="1:6" x14ac:dyDescent="0.35">
      <c r="A620" s="3" t="s">
        <v>5</v>
      </c>
      <c r="B620" s="27">
        <v>98.53</v>
      </c>
      <c r="C620" s="1">
        <v>6</v>
      </c>
      <c r="D620" s="31">
        <f>Table_supermarket_sales___Sheet1[[#This Row],[Cost Price]]+Table57[[#This Row],[Markup Cost]]</f>
        <v>128.089</v>
      </c>
      <c r="E620" s="4">
        <v>6</v>
      </c>
      <c r="F620" s="20">
        <f>Table_supermarket_sales___Sheet13[[#This Row],[Selling Price]]-Table_supermarket_sales___Sheet13[[#This Row],[Cost Price]]</f>
        <v>29.558999999999997</v>
      </c>
    </row>
    <row r="621" spans="1:6" x14ac:dyDescent="0.35">
      <c r="A621" s="3" t="s">
        <v>6</v>
      </c>
      <c r="B621" s="27">
        <v>43.46</v>
      </c>
      <c r="C621" s="1">
        <v>6</v>
      </c>
      <c r="D621" s="31">
        <f>Table_supermarket_sales___Sheet1[[#This Row],[Cost Price]]+Table57[[#This Row],[Markup Cost]]</f>
        <v>56.498000000000005</v>
      </c>
      <c r="E621" s="1">
        <v>6</v>
      </c>
      <c r="F621" s="20">
        <f>Table_supermarket_sales___Sheet13[[#This Row],[Selling Price]]-Table_supermarket_sales___Sheet13[[#This Row],[Cost Price]]</f>
        <v>13.038000000000004</v>
      </c>
    </row>
    <row r="622" spans="1:6" x14ac:dyDescent="0.35">
      <c r="A622" s="3" t="s">
        <v>5</v>
      </c>
      <c r="B622" s="27">
        <v>71.680000000000007</v>
      </c>
      <c r="C622" s="1">
        <v>3</v>
      </c>
      <c r="D622" s="31">
        <f>Table_supermarket_sales___Sheet1[[#This Row],[Cost Price]]+Table57[[#This Row],[Markup Cost]]</f>
        <v>82.432000000000002</v>
      </c>
      <c r="E622" s="4">
        <v>3</v>
      </c>
      <c r="F622" s="20">
        <f>Table_supermarket_sales___Sheet13[[#This Row],[Selling Price]]-Table_supermarket_sales___Sheet13[[#This Row],[Cost Price]]</f>
        <v>10.751999999999995</v>
      </c>
    </row>
    <row r="623" spans="1:6" x14ac:dyDescent="0.35">
      <c r="A623" s="3" t="s">
        <v>5</v>
      </c>
      <c r="B623" s="27">
        <v>91.61</v>
      </c>
      <c r="C623" s="1">
        <v>1</v>
      </c>
      <c r="D623" s="31">
        <f>Table_supermarket_sales___Sheet1[[#This Row],[Cost Price]]+Table57[[#This Row],[Markup Cost]]</f>
        <v>96.1905</v>
      </c>
      <c r="E623" s="1">
        <v>1</v>
      </c>
      <c r="F623" s="20">
        <f>Table_supermarket_sales___Sheet13[[#This Row],[Selling Price]]-Table_supermarket_sales___Sheet13[[#This Row],[Cost Price]]</f>
        <v>4.5805000000000007</v>
      </c>
    </row>
    <row r="624" spans="1:6" x14ac:dyDescent="0.35">
      <c r="A624" s="3" t="s">
        <v>3</v>
      </c>
      <c r="B624" s="27">
        <v>94.59</v>
      </c>
      <c r="C624" s="1">
        <v>7</v>
      </c>
      <c r="D624" s="31">
        <f>Table_supermarket_sales___Sheet1[[#This Row],[Cost Price]]+Table57[[#This Row],[Markup Cost]]</f>
        <v>127.6965</v>
      </c>
      <c r="E624" s="4">
        <v>7</v>
      </c>
      <c r="F624" s="20">
        <f>Table_supermarket_sales___Sheet13[[#This Row],[Selling Price]]-Table_supermarket_sales___Sheet13[[#This Row],[Cost Price]]</f>
        <v>33.106499999999997</v>
      </c>
    </row>
    <row r="625" spans="1:6" x14ac:dyDescent="0.35">
      <c r="A625" s="3" t="s">
        <v>6</v>
      </c>
      <c r="B625" s="27">
        <v>83.25</v>
      </c>
      <c r="C625" s="1">
        <v>10</v>
      </c>
      <c r="D625" s="31">
        <f>Table_supermarket_sales___Sheet1[[#This Row],[Cost Price]]+Table57[[#This Row],[Markup Cost]]</f>
        <v>124.875</v>
      </c>
      <c r="E625" s="1">
        <v>10</v>
      </c>
      <c r="F625" s="20">
        <f>Table_supermarket_sales___Sheet13[[#This Row],[Selling Price]]-Table_supermarket_sales___Sheet13[[#This Row],[Cost Price]]</f>
        <v>41.625</v>
      </c>
    </row>
    <row r="626" spans="1:6" x14ac:dyDescent="0.35">
      <c r="A626" s="3" t="s">
        <v>6</v>
      </c>
      <c r="B626" s="27">
        <v>91.35</v>
      </c>
      <c r="C626" s="1">
        <v>1</v>
      </c>
      <c r="D626" s="31">
        <f>Table_supermarket_sales___Sheet1[[#This Row],[Cost Price]]+Table57[[#This Row],[Markup Cost]]</f>
        <v>95.91749999999999</v>
      </c>
      <c r="E626" s="4">
        <v>1</v>
      </c>
      <c r="F626" s="20">
        <f>Table_supermarket_sales___Sheet13[[#This Row],[Selling Price]]-Table_supermarket_sales___Sheet13[[#This Row],[Cost Price]]</f>
        <v>4.5674999999999955</v>
      </c>
    </row>
    <row r="627" spans="1:6" x14ac:dyDescent="0.35">
      <c r="A627" s="3" t="s">
        <v>5</v>
      </c>
      <c r="B627" s="27">
        <v>78.88</v>
      </c>
      <c r="C627" s="1">
        <v>2</v>
      </c>
      <c r="D627" s="31">
        <f>Table_supermarket_sales___Sheet1[[#This Row],[Cost Price]]+Table57[[#This Row],[Markup Cost]]</f>
        <v>86.768000000000001</v>
      </c>
      <c r="E627" s="1">
        <v>2</v>
      </c>
      <c r="F627" s="20">
        <f>Table_supermarket_sales___Sheet13[[#This Row],[Selling Price]]-Table_supermarket_sales___Sheet13[[#This Row],[Cost Price]]</f>
        <v>7.8880000000000052</v>
      </c>
    </row>
    <row r="628" spans="1:6" x14ac:dyDescent="0.35">
      <c r="A628" s="3" t="s">
        <v>4</v>
      </c>
      <c r="B628" s="27">
        <v>60.87</v>
      </c>
      <c r="C628" s="1">
        <v>2</v>
      </c>
      <c r="D628" s="31">
        <f>Table_supermarket_sales___Sheet1[[#This Row],[Cost Price]]+Table57[[#This Row],[Markup Cost]]</f>
        <v>66.956999999999994</v>
      </c>
      <c r="E628" s="4">
        <v>2</v>
      </c>
      <c r="F628" s="20">
        <f>Table_supermarket_sales___Sheet13[[#This Row],[Selling Price]]-Table_supermarket_sales___Sheet13[[#This Row],[Cost Price]]</f>
        <v>6.0869999999999962</v>
      </c>
    </row>
    <row r="629" spans="1:6" x14ac:dyDescent="0.35">
      <c r="A629" s="3" t="s">
        <v>1</v>
      </c>
      <c r="B629" s="27">
        <v>82.58</v>
      </c>
      <c r="C629" s="1">
        <v>10</v>
      </c>
      <c r="D629" s="31">
        <f>Table_supermarket_sales___Sheet1[[#This Row],[Cost Price]]+Table57[[#This Row],[Markup Cost]]</f>
        <v>123.87</v>
      </c>
      <c r="E629" s="1">
        <v>10</v>
      </c>
      <c r="F629" s="20">
        <f>Table_supermarket_sales___Sheet13[[#This Row],[Selling Price]]-Table_supermarket_sales___Sheet13[[#This Row],[Cost Price]]</f>
        <v>41.290000000000006</v>
      </c>
    </row>
    <row r="630" spans="1:6" x14ac:dyDescent="0.35">
      <c r="A630" s="3" t="s">
        <v>3</v>
      </c>
      <c r="B630" s="27">
        <v>53.3</v>
      </c>
      <c r="C630" s="1">
        <v>3</v>
      </c>
      <c r="D630" s="31">
        <f>Table_supermarket_sales___Sheet1[[#This Row],[Cost Price]]+Table57[[#This Row],[Markup Cost]]</f>
        <v>61.294999999999995</v>
      </c>
      <c r="E630" s="4">
        <v>3</v>
      </c>
      <c r="F630" s="20">
        <f>Table_supermarket_sales___Sheet13[[#This Row],[Selling Price]]-Table_supermarket_sales___Sheet13[[#This Row],[Cost Price]]</f>
        <v>7.9949999999999974</v>
      </c>
    </row>
    <row r="631" spans="1:6" x14ac:dyDescent="0.35">
      <c r="A631" s="3" t="s">
        <v>6</v>
      </c>
      <c r="B631" s="27">
        <v>12.09</v>
      </c>
      <c r="C631" s="1">
        <v>1</v>
      </c>
      <c r="D631" s="31">
        <f>Table_supermarket_sales___Sheet1[[#This Row],[Cost Price]]+Table57[[#This Row],[Markup Cost]]</f>
        <v>12.6945</v>
      </c>
      <c r="E631" s="1">
        <v>1</v>
      </c>
      <c r="F631" s="20">
        <f>Table_supermarket_sales___Sheet13[[#This Row],[Selling Price]]-Table_supermarket_sales___Sheet13[[#This Row],[Cost Price]]</f>
        <v>0.60449999999999982</v>
      </c>
    </row>
    <row r="632" spans="1:6" x14ac:dyDescent="0.35">
      <c r="A632" s="3" t="s">
        <v>4</v>
      </c>
      <c r="B632" s="27">
        <v>64.19</v>
      </c>
      <c r="C632" s="1">
        <v>10</v>
      </c>
      <c r="D632" s="31">
        <f>Table_supermarket_sales___Sheet1[[#This Row],[Cost Price]]+Table57[[#This Row],[Markup Cost]]</f>
        <v>96.284999999999997</v>
      </c>
      <c r="E632" s="4">
        <v>10</v>
      </c>
      <c r="F632" s="20">
        <f>Table_supermarket_sales___Sheet13[[#This Row],[Selling Price]]-Table_supermarket_sales___Sheet13[[#This Row],[Cost Price]]</f>
        <v>32.094999999999999</v>
      </c>
    </row>
    <row r="633" spans="1:6" x14ac:dyDescent="0.35">
      <c r="A633" s="3" t="s">
        <v>2</v>
      </c>
      <c r="B633" s="27">
        <v>78.31</v>
      </c>
      <c r="C633" s="1">
        <v>3</v>
      </c>
      <c r="D633" s="31">
        <f>Table_supermarket_sales___Sheet1[[#This Row],[Cost Price]]+Table57[[#This Row],[Markup Cost]]</f>
        <v>90.0565</v>
      </c>
      <c r="E633" s="1">
        <v>3</v>
      </c>
      <c r="F633" s="20">
        <f>Table_supermarket_sales___Sheet13[[#This Row],[Selling Price]]-Table_supermarket_sales___Sheet13[[#This Row],[Cost Price]]</f>
        <v>11.746499999999997</v>
      </c>
    </row>
    <row r="634" spans="1:6" x14ac:dyDescent="0.35">
      <c r="A634" s="3" t="s">
        <v>5</v>
      </c>
      <c r="B634" s="27">
        <v>83.77</v>
      </c>
      <c r="C634" s="1">
        <v>2</v>
      </c>
      <c r="D634" s="31">
        <f>Table_supermarket_sales___Sheet1[[#This Row],[Cost Price]]+Table57[[#This Row],[Markup Cost]]</f>
        <v>92.146999999999991</v>
      </c>
      <c r="E634" s="4">
        <v>2</v>
      </c>
      <c r="F634" s="20">
        <f>Table_supermarket_sales___Sheet13[[#This Row],[Selling Price]]-Table_supermarket_sales___Sheet13[[#This Row],[Cost Price]]</f>
        <v>8.3769999999999953</v>
      </c>
    </row>
    <row r="635" spans="1:6" x14ac:dyDescent="0.35">
      <c r="A635" s="3" t="s">
        <v>3</v>
      </c>
      <c r="B635" s="27">
        <v>99.7</v>
      </c>
      <c r="C635" s="1">
        <v>3</v>
      </c>
      <c r="D635" s="31">
        <f>Table_supermarket_sales___Sheet1[[#This Row],[Cost Price]]+Table57[[#This Row],[Markup Cost]]</f>
        <v>114.655</v>
      </c>
      <c r="E635" s="1">
        <v>3</v>
      </c>
      <c r="F635" s="20">
        <f>Table_supermarket_sales___Sheet13[[#This Row],[Selling Price]]-Table_supermarket_sales___Sheet13[[#This Row],[Cost Price]]</f>
        <v>14.954999999999998</v>
      </c>
    </row>
    <row r="636" spans="1:6" x14ac:dyDescent="0.35">
      <c r="A636" s="3" t="s">
        <v>5</v>
      </c>
      <c r="B636" s="27">
        <v>79.91</v>
      </c>
      <c r="C636" s="1">
        <v>3</v>
      </c>
      <c r="D636" s="31">
        <f>Table_supermarket_sales___Sheet1[[#This Row],[Cost Price]]+Table57[[#This Row],[Markup Cost]]</f>
        <v>91.896500000000003</v>
      </c>
      <c r="E636" s="4">
        <v>3</v>
      </c>
      <c r="F636" s="20">
        <f>Table_supermarket_sales___Sheet13[[#This Row],[Selling Price]]-Table_supermarket_sales___Sheet13[[#This Row],[Cost Price]]</f>
        <v>11.986500000000007</v>
      </c>
    </row>
    <row r="637" spans="1:6" x14ac:dyDescent="0.35">
      <c r="A637" s="3" t="s">
        <v>1</v>
      </c>
      <c r="B637" s="27">
        <v>66.47</v>
      </c>
      <c r="C637" s="1">
        <v>10</v>
      </c>
      <c r="D637" s="31">
        <f>Table_supermarket_sales___Sheet1[[#This Row],[Cost Price]]+Table57[[#This Row],[Markup Cost]]</f>
        <v>99.704999999999998</v>
      </c>
      <c r="E637" s="1">
        <v>10</v>
      </c>
      <c r="F637" s="20">
        <f>Table_supermarket_sales___Sheet13[[#This Row],[Selling Price]]-Table_supermarket_sales___Sheet13[[#This Row],[Cost Price]]</f>
        <v>33.234999999999999</v>
      </c>
    </row>
    <row r="638" spans="1:6" x14ac:dyDescent="0.35">
      <c r="A638" s="3" t="s">
        <v>1</v>
      </c>
      <c r="B638" s="27">
        <v>28.95</v>
      </c>
      <c r="C638" s="1">
        <v>7</v>
      </c>
      <c r="D638" s="31">
        <f>Table_supermarket_sales___Sheet1[[#This Row],[Cost Price]]+Table57[[#This Row],[Markup Cost]]</f>
        <v>39.082499999999996</v>
      </c>
      <c r="E638" s="4">
        <v>7</v>
      </c>
      <c r="F638" s="20">
        <f>Table_supermarket_sales___Sheet13[[#This Row],[Selling Price]]-Table_supermarket_sales___Sheet13[[#This Row],[Cost Price]]</f>
        <v>10.132499999999997</v>
      </c>
    </row>
    <row r="639" spans="1:6" x14ac:dyDescent="0.35">
      <c r="A639" s="3" t="s">
        <v>2</v>
      </c>
      <c r="B639" s="27">
        <v>46.2</v>
      </c>
      <c r="C639" s="1">
        <v>1</v>
      </c>
      <c r="D639" s="31">
        <f>Table_supermarket_sales___Sheet1[[#This Row],[Cost Price]]+Table57[[#This Row],[Markup Cost]]</f>
        <v>48.510000000000005</v>
      </c>
      <c r="E639" s="1">
        <v>1</v>
      </c>
      <c r="F639" s="20">
        <f>Table_supermarket_sales___Sheet13[[#This Row],[Selling Price]]-Table_supermarket_sales___Sheet13[[#This Row],[Cost Price]]</f>
        <v>2.3100000000000023</v>
      </c>
    </row>
    <row r="640" spans="1:6" x14ac:dyDescent="0.35">
      <c r="A640" s="3" t="s">
        <v>5</v>
      </c>
      <c r="B640" s="27">
        <v>17.63</v>
      </c>
      <c r="C640" s="1">
        <v>5</v>
      </c>
      <c r="D640" s="31">
        <f>Table_supermarket_sales___Sheet1[[#This Row],[Cost Price]]+Table57[[#This Row],[Markup Cost]]</f>
        <v>22.037499999999998</v>
      </c>
      <c r="E640" s="4">
        <v>5</v>
      </c>
      <c r="F640" s="20">
        <f>Table_supermarket_sales___Sheet13[[#This Row],[Selling Price]]-Table_supermarket_sales___Sheet13[[#This Row],[Cost Price]]</f>
        <v>4.4074999999999989</v>
      </c>
    </row>
    <row r="641" spans="1:6" x14ac:dyDescent="0.35">
      <c r="A641" s="3" t="s">
        <v>6</v>
      </c>
      <c r="B641" s="27">
        <v>52.42</v>
      </c>
      <c r="C641" s="1">
        <v>3</v>
      </c>
      <c r="D641" s="31">
        <f>Table_supermarket_sales___Sheet1[[#This Row],[Cost Price]]+Table57[[#This Row],[Markup Cost]]</f>
        <v>60.283000000000001</v>
      </c>
      <c r="E641" s="1">
        <v>3</v>
      </c>
      <c r="F641" s="20">
        <f>Table_supermarket_sales___Sheet13[[#This Row],[Selling Price]]-Table_supermarket_sales___Sheet13[[#This Row],[Cost Price]]</f>
        <v>7.8629999999999995</v>
      </c>
    </row>
    <row r="642" spans="1:6" x14ac:dyDescent="0.35">
      <c r="A642" s="3" t="s">
        <v>5</v>
      </c>
      <c r="B642" s="27">
        <v>98.79</v>
      </c>
      <c r="C642" s="1">
        <v>3</v>
      </c>
      <c r="D642" s="31">
        <f>Table_supermarket_sales___Sheet1[[#This Row],[Cost Price]]+Table57[[#This Row],[Markup Cost]]</f>
        <v>113.60850000000001</v>
      </c>
      <c r="E642" s="4">
        <v>3</v>
      </c>
      <c r="F642" s="20">
        <f>Table_supermarket_sales___Sheet13[[#This Row],[Selling Price]]-Table_supermarket_sales___Sheet13[[#This Row],[Cost Price]]</f>
        <v>14.8185</v>
      </c>
    </row>
    <row r="643" spans="1:6" x14ac:dyDescent="0.35">
      <c r="A643" s="3" t="s">
        <v>2</v>
      </c>
      <c r="B643" s="27">
        <v>88.55</v>
      </c>
      <c r="C643" s="1">
        <v>8</v>
      </c>
      <c r="D643" s="31">
        <f>Table_supermarket_sales___Sheet1[[#This Row],[Cost Price]]+Table57[[#This Row],[Markup Cost]]</f>
        <v>123.97</v>
      </c>
      <c r="E643" s="1">
        <v>8</v>
      </c>
      <c r="F643" s="20">
        <f>Table_supermarket_sales___Sheet13[[#This Row],[Selling Price]]-Table_supermarket_sales___Sheet13[[#This Row],[Cost Price]]</f>
        <v>35.42</v>
      </c>
    </row>
    <row r="644" spans="1:6" x14ac:dyDescent="0.35">
      <c r="A644" s="3" t="s">
        <v>2</v>
      </c>
      <c r="B644" s="27">
        <v>55.67</v>
      </c>
      <c r="C644" s="1">
        <v>2</v>
      </c>
      <c r="D644" s="31">
        <f>Table_supermarket_sales___Sheet1[[#This Row],[Cost Price]]+Table57[[#This Row],[Markup Cost]]</f>
        <v>61.237000000000002</v>
      </c>
      <c r="E644" s="4">
        <v>2</v>
      </c>
      <c r="F644" s="20">
        <f>Table_supermarket_sales___Sheet13[[#This Row],[Selling Price]]-Table_supermarket_sales___Sheet13[[#This Row],[Cost Price]]</f>
        <v>5.5670000000000002</v>
      </c>
    </row>
    <row r="645" spans="1:6" x14ac:dyDescent="0.35">
      <c r="A645" s="3" t="s">
        <v>5</v>
      </c>
      <c r="B645" s="27">
        <v>72.52</v>
      </c>
      <c r="C645" s="1">
        <v>8</v>
      </c>
      <c r="D645" s="31">
        <f>Table_supermarket_sales___Sheet1[[#This Row],[Cost Price]]+Table57[[#This Row],[Markup Cost]]</f>
        <v>101.52799999999999</v>
      </c>
      <c r="E645" s="1">
        <v>8</v>
      </c>
      <c r="F645" s="20">
        <f>Table_supermarket_sales___Sheet13[[#This Row],[Selling Price]]-Table_supermarket_sales___Sheet13[[#This Row],[Cost Price]]</f>
        <v>29.007999999999996</v>
      </c>
    </row>
    <row r="646" spans="1:6" x14ac:dyDescent="0.35">
      <c r="A646" s="3" t="s">
        <v>2</v>
      </c>
      <c r="B646" s="27">
        <v>12.05</v>
      </c>
      <c r="C646" s="1">
        <v>5</v>
      </c>
      <c r="D646" s="31">
        <f>Table_supermarket_sales___Sheet1[[#This Row],[Cost Price]]+Table57[[#This Row],[Markup Cost]]</f>
        <v>15.0625</v>
      </c>
      <c r="E646" s="4">
        <v>5</v>
      </c>
      <c r="F646" s="20">
        <f>Table_supermarket_sales___Sheet13[[#This Row],[Selling Price]]-Table_supermarket_sales___Sheet13[[#This Row],[Cost Price]]</f>
        <v>3.0124999999999993</v>
      </c>
    </row>
    <row r="647" spans="1:6" x14ac:dyDescent="0.35">
      <c r="A647" s="3" t="s">
        <v>3</v>
      </c>
      <c r="B647" s="27">
        <v>19.36</v>
      </c>
      <c r="C647" s="1">
        <v>9</v>
      </c>
      <c r="D647" s="31">
        <f>Table_supermarket_sales___Sheet1[[#This Row],[Cost Price]]+Table57[[#This Row],[Markup Cost]]</f>
        <v>28.071999999999999</v>
      </c>
      <c r="E647" s="1">
        <v>9</v>
      </c>
      <c r="F647" s="20">
        <f>Table_supermarket_sales___Sheet13[[#This Row],[Selling Price]]-Table_supermarket_sales___Sheet13[[#This Row],[Cost Price]]</f>
        <v>8.7119999999999997</v>
      </c>
    </row>
    <row r="648" spans="1:6" x14ac:dyDescent="0.35">
      <c r="A648" s="3" t="s">
        <v>1</v>
      </c>
      <c r="B648" s="27">
        <v>70.209999999999994</v>
      </c>
      <c r="C648" s="1">
        <v>6</v>
      </c>
      <c r="D648" s="31">
        <f>Table_supermarket_sales___Sheet1[[#This Row],[Cost Price]]+Table57[[#This Row],[Markup Cost]]</f>
        <v>91.272999999999996</v>
      </c>
      <c r="E648" s="4">
        <v>6</v>
      </c>
      <c r="F648" s="20">
        <f>Table_supermarket_sales___Sheet13[[#This Row],[Selling Price]]-Table_supermarket_sales___Sheet13[[#This Row],[Cost Price]]</f>
        <v>21.063000000000002</v>
      </c>
    </row>
    <row r="649" spans="1:6" x14ac:dyDescent="0.35">
      <c r="A649" s="3" t="s">
        <v>6</v>
      </c>
      <c r="B649" s="27">
        <v>33.630000000000003</v>
      </c>
      <c r="C649" s="1">
        <v>1</v>
      </c>
      <c r="D649" s="31">
        <f>Table_supermarket_sales___Sheet1[[#This Row],[Cost Price]]+Table57[[#This Row],[Markup Cost]]</f>
        <v>35.311500000000002</v>
      </c>
      <c r="E649" s="1">
        <v>1</v>
      </c>
      <c r="F649" s="20">
        <f>Table_supermarket_sales___Sheet13[[#This Row],[Selling Price]]-Table_supermarket_sales___Sheet13[[#This Row],[Cost Price]]</f>
        <v>1.6814999999999998</v>
      </c>
    </row>
    <row r="650" spans="1:6" x14ac:dyDescent="0.35">
      <c r="A650" s="3" t="s">
        <v>4</v>
      </c>
      <c r="B650" s="27">
        <v>15.49</v>
      </c>
      <c r="C650" s="1">
        <v>2</v>
      </c>
      <c r="D650" s="31">
        <f>Table_supermarket_sales___Sheet1[[#This Row],[Cost Price]]+Table57[[#This Row],[Markup Cost]]</f>
        <v>17.039000000000001</v>
      </c>
      <c r="E650" s="4">
        <v>2</v>
      </c>
      <c r="F650" s="20">
        <f>Table_supermarket_sales___Sheet13[[#This Row],[Selling Price]]-Table_supermarket_sales___Sheet13[[#This Row],[Cost Price]]</f>
        <v>1.5490000000000013</v>
      </c>
    </row>
    <row r="651" spans="1:6" x14ac:dyDescent="0.35">
      <c r="A651" s="3" t="s">
        <v>2</v>
      </c>
      <c r="B651" s="27">
        <v>24.74</v>
      </c>
      <c r="C651" s="1">
        <v>10</v>
      </c>
      <c r="D651" s="31">
        <f>Table_supermarket_sales___Sheet1[[#This Row],[Cost Price]]+Table57[[#This Row],[Markup Cost]]</f>
        <v>37.11</v>
      </c>
      <c r="E651" s="1">
        <v>10</v>
      </c>
      <c r="F651" s="20">
        <f>Table_supermarket_sales___Sheet13[[#This Row],[Selling Price]]-Table_supermarket_sales___Sheet13[[#This Row],[Cost Price]]</f>
        <v>12.370000000000001</v>
      </c>
    </row>
    <row r="652" spans="1:6" x14ac:dyDescent="0.35">
      <c r="A652" s="3" t="s">
        <v>2</v>
      </c>
      <c r="B652" s="27">
        <v>75.66</v>
      </c>
      <c r="C652" s="1">
        <v>5</v>
      </c>
      <c r="D652" s="31">
        <f>Table_supermarket_sales___Sheet1[[#This Row],[Cost Price]]+Table57[[#This Row],[Markup Cost]]</f>
        <v>94.574999999999989</v>
      </c>
      <c r="E652" s="4">
        <v>5</v>
      </c>
      <c r="F652" s="20">
        <f>Table_supermarket_sales___Sheet13[[#This Row],[Selling Price]]-Table_supermarket_sales___Sheet13[[#This Row],[Cost Price]]</f>
        <v>18.914999999999992</v>
      </c>
    </row>
    <row r="653" spans="1:6" x14ac:dyDescent="0.35">
      <c r="A653" s="3" t="s">
        <v>1</v>
      </c>
      <c r="B653" s="27">
        <v>55.81</v>
      </c>
      <c r="C653" s="1">
        <v>6</v>
      </c>
      <c r="D653" s="31">
        <f>Table_supermarket_sales___Sheet1[[#This Row],[Cost Price]]+Table57[[#This Row],[Markup Cost]]</f>
        <v>72.552999999999997</v>
      </c>
      <c r="E653" s="1">
        <v>6</v>
      </c>
      <c r="F653" s="20">
        <f>Table_supermarket_sales___Sheet13[[#This Row],[Selling Price]]-Table_supermarket_sales___Sheet13[[#This Row],[Cost Price]]</f>
        <v>16.742999999999995</v>
      </c>
    </row>
    <row r="654" spans="1:6" x14ac:dyDescent="0.35">
      <c r="A654" s="3" t="s">
        <v>3</v>
      </c>
      <c r="B654" s="27">
        <v>72.78</v>
      </c>
      <c r="C654" s="1">
        <v>10</v>
      </c>
      <c r="D654" s="31">
        <f>Table_supermarket_sales___Sheet1[[#This Row],[Cost Price]]+Table57[[#This Row],[Markup Cost]]</f>
        <v>109.17</v>
      </c>
      <c r="E654" s="4">
        <v>10</v>
      </c>
      <c r="F654" s="20">
        <f>Table_supermarket_sales___Sheet13[[#This Row],[Selling Price]]-Table_supermarket_sales___Sheet13[[#This Row],[Cost Price]]</f>
        <v>36.39</v>
      </c>
    </row>
    <row r="655" spans="1:6" x14ac:dyDescent="0.35">
      <c r="A655" s="3" t="s">
        <v>4</v>
      </c>
      <c r="B655" s="27">
        <v>37.32</v>
      </c>
      <c r="C655" s="1">
        <v>9</v>
      </c>
      <c r="D655" s="31">
        <f>Table_supermarket_sales___Sheet1[[#This Row],[Cost Price]]+Table57[[#This Row],[Markup Cost]]</f>
        <v>54.114000000000004</v>
      </c>
      <c r="E655" s="1">
        <v>9</v>
      </c>
      <c r="F655" s="20">
        <f>Table_supermarket_sales___Sheet13[[#This Row],[Selling Price]]-Table_supermarket_sales___Sheet13[[#This Row],[Cost Price]]</f>
        <v>16.794000000000004</v>
      </c>
    </row>
    <row r="656" spans="1:6" x14ac:dyDescent="0.35">
      <c r="A656" s="3" t="s">
        <v>6</v>
      </c>
      <c r="B656" s="27">
        <v>60.18</v>
      </c>
      <c r="C656" s="1">
        <v>4</v>
      </c>
      <c r="D656" s="31">
        <f>Table_supermarket_sales___Sheet1[[#This Row],[Cost Price]]+Table57[[#This Row],[Markup Cost]]</f>
        <v>72.215999999999994</v>
      </c>
      <c r="E656" s="4">
        <v>4</v>
      </c>
      <c r="F656" s="20">
        <f>Table_supermarket_sales___Sheet13[[#This Row],[Selling Price]]-Table_supermarket_sales___Sheet13[[#This Row],[Cost Price]]</f>
        <v>12.035999999999994</v>
      </c>
    </row>
    <row r="657" spans="1:6" x14ac:dyDescent="0.35">
      <c r="A657" s="3" t="s">
        <v>2</v>
      </c>
      <c r="B657" s="27">
        <v>15.69</v>
      </c>
      <c r="C657" s="1">
        <v>3</v>
      </c>
      <c r="D657" s="31">
        <f>Table_supermarket_sales___Sheet1[[#This Row],[Cost Price]]+Table57[[#This Row],[Markup Cost]]</f>
        <v>18.043499999999998</v>
      </c>
      <c r="E657" s="1">
        <v>3</v>
      </c>
      <c r="F657" s="20">
        <f>Table_supermarket_sales___Sheet13[[#This Row],[Selling Price]]-Table_supermarket_sales___Sheet13[[#This Row],[Cost Price]]</f>
        <v>2.3534999999999986</v>
      </c>
    </row>
    <row r="658" spans="1:6" x14ac:dyDescent="0.35">
      <c r="A658" s="3" t="s">
        <v>2</v>
      </c>
      <c r="B658" s="27">
        <v>99.69</v>
      </c>
      <c r="C658" s="1">
        <v>1</v>
      </c>
      <c r="D658" s="31">
        <f>Table_supermarket_sales___Sheet1[[#This Row],[Cost Price]]+Table57[[#This Row],[Markup Cost]]</f>
        <v>104.67449999999999</v>
      </c>
      <c r="E658" s="4">
        <v>1</v>
      </c>
      <c r="F658" s="20">
        <f>Table_supermarket_sales___Sheet13[[#This Row],[Selling Price]]-Table_supermarket_sales___Sheet13[[#This Row],[Cost Price]]</f>
        <v>4.984499999999997</v>
      </c>
    </row>
    <row r="659" spans="1:6" x14ac:dyDescent="0.35">
      <c r="A659" s="3" t="s">
        <v>6</v>
      </c>
      <c r="B659" s="27">
        <v>88.15</v>
      </c>
      <c r="C659" s="1">
        <v>3</v>
      </c>
      <c r="D659" s="31">
        <f>Table_supermarket_sales___Sheet1[[#This Row],[Cost Price]]+Table57[[#This Row],[Markup Cost]]</f>
        <v>101.3725</v>
      </c>
      <c r="E659" s="1">
        <v>3</v>
      </c>
      <c r="F659" s="20">
        <f>Table_supermarket_sales___Sheet13[[#This Row],[Selling Price]]-Table_supermarket_sales___Sheet13[[#This Row],[Cost Price]]</f>
        <v>13.222499999999997</v>
      </c>
    </row>
    <row r="660" spans="1:6" x14ac:dyDescent="0.35">
      <c r="A660" s="3" t="s">
        <v>4</v>
      </c>
      <c r="B660" s="27">
        <v>27.93</v>
      </c>
      <c r="C660" s="1">
        <v>5</v>
      </c>
      <c r="D660" s="31">
        <f>Table_supermarket_sales___Sheet1[[#This Row],[Cost Price]]+Table57[[#This Row],[Markup Cost]]</f>
        <v>34.912500000000001</v>
      </c>
      <c r="E660" s="4">
        <v>5</v>
      </c>
      <c r="F660" s="20">
        <f>Table_supermarket_sales___Sheet13[[#This Row],[Selling Price]]-Table_supermarket_sales___Sheet13[[#This Row],[Cost Price]]</f>
        <v>6.9825000000000017</v>
      </c>
    </row>
    <row r="661" spans="1:6" x14ac:dyDescent="0.35">
      <c r="A661" s="3" t="s">
        <v>6</v>
      </c>
      <c r="B661" s="27">
        <v>55.45</v>
      </c>
      <c r="C661" s="1">
        <v>1</v>
      </c>
      <c r="D661" s="31">
        <f>Table_supermarket_sales___Sheet1[[#This Row],[Cost Price]]+Table57[[#This Row],[Markup Cost]]</f>
        <v>58.222500000000004</v>
      </c>
      <c r="E661" s="1">
        <v>1</v>
      </c>
      <c r="F661" s="20">
        <f>Table_supermarket_sales___Sheet13[[#This Row],[Selling Price]]-Table_supermarket_sales___Sheet13[[#This Row],[Cost Price]]</f>
        <v>2.7725000000000009</v>
      </c>
    </row>
    <row r="662" spans="1:6" x14ac:dyDescent="0.35">
      <c r="A662" s="3" t="s">
        <v>4</v>
      </c>
      <c r="B662" s="27">
        <v>42.97</v>
      </c>
      <c r="C662" s="1">
        <v>3</v>
      </c>
      <c r="D662" s="31">
        <f>Table_supermarket_sales___Sheet1[[#This Row],[Cost Price]]+Table57[[#This Row],[Markup Cost]]</f>
        <v>49.415500000000002</v>
      </c>
      <c r="E662" s="4">
        <v>3</v>
      </c>
      <c r="F662" s="20">
        <f>Table_supermarket_sales___Sheet13[[#This Row],[Selling Price]]-Table_supermarket_sales___Sheet13[[#This Row],[Cost Price]]</f>
        <v>6.4455000000000027</v>
      </c>
    </row>
    <row r="663" spans="1:6" x14ac:dyDescent="0.35">
      <c r="A663" s="3" t="s">
        <v>4</v>
      </c>
      <c r="B663" s="27">
        <v>17.14</v>
      </c>
      <c r="C663" s="1">
        <v>7</v>
      </c>
      <c r="D663" s="31">
        <f>Table_supermarket_sales___Sheet1[[#This Row],[Cost Price]]+Table57[[#This Row],[Markup Cost]]</f>
        <v>23.138999999999999</v>
      </c>
      <c r="E663" s="1">
        <v>7</v>
      </c>
      <c r="F663" s="20">
        <f>Table_supermarket_sales___Sheet13[[#This Row],[Selling Price]]-Table_supermarket_sales___Sheet13[[#This Row],[Cost Price]]</f>
        <v>5.9989999999999988</v>
      </c>
    </row>
    <row r="664" spans="1:6" x14ac:dyDescent="0.35">
      <c r="A664" s="3" t="s">
        <v>6</v>
      </c>
      <c r="B664" s="27">
        <v>58.75</v>
      </c>
      <c r="C664" s="1">
        <v>6</v>
      </c>
      <c r="D664" s="31">
        <f>Table_supermarket_sales___Sheet1[[#This Row],[Cost Price]]+Table57[[#This Row],[Markup Cost]]</f>
        <v>76.375</v>
      </c>
      <c r="E664" s="4">
        <v>6</v>
      </c>
      <c r="F664" s="20">
        <f>Table_supermarket_sales___Sheet13[[#This Row],[Selling Price]]-Table_supermarket_sales___Sheet13[[#This Row],[Cost Price]]</f>
        <v>17.625</v>
      </c>
    </row>
    <row r="665" spans="1:6" x14ac:dyDescent="0.35">
      <c r="A665" s="3" t="s">
        <v>5</v>
      </c>
      <c r="B665" s="27">
        <v>87.1</v>
      </c>
      <c r="C665" s="1">
        <v>10</v>
      </c>
      <c r="D665" s="31">
        <f>Table_supermarket_sales___Sheet1[[#This Row],[Cost Price]]+Table57[[#This Row],[Markup Cost]]</f>
        <v>130.64999999999998</v>
      </c>
      <c r="E665" s="1">
        <v>10</v>
      </c>
      <c r="F665" s="20">
        <f>Table_supermarket_sales___Sheet13[[#This Row],[Selling Price]]-Table_supermarket_sales___Sheet13[[#This Row],[Cost Price]]</f>
        <v>43.549999999999983</v>
      </c>
    </row>
    <row r="666" spans="1:6" x14ac:dyDescent="0.35">
      <c r="A666" s="3" t="s">
        <v>4</v>
      </c>
      <c r="B666" s="27">
        <v>98.8</v>
      </c>
      <c r="C666" s="1">
        <v>2</v>
      </c>
      <c r="D666" s="31">
        <f>Table_supermarket_sales___Sheet1[[#This Row],[Cost Price]]+Table57[[#This Row],[Markup Cost]]</f>
        <v>108.67999999999999</v>
      </c>
      <c r="E666" s="4">
        <v>2</v>
      </c>
      <c r="F666" s="20">
        <f>Table_supermarket_sales___Sheet13[[#This Row],[Selling Price]]-Table_supermarket_sales___Sheet13[[#This Row],[Cost Price]]</f>
        <v>9.8799999999999955</v>
      </c>
    </row>
    <row r="667" spans="1:6" x14ac:dyDescent="0.35">
      <c r="A667" s="3" t="s">
        <v>6</v>
      </c>
      <c r="B667" s="27">
        <v>48.63</v>
      </c>
      <c r="C667" s="1">
        <v>4</v>
      </c>
      <c r="D667" s="31">
        <f>Table_supermarket_sales___Sheet1[[#This Row],[Cost Price]]+Table57[[#This Row],[Markup Cost]]</f>
        <v>58.356000000000002</v>
      </c>
      <c r="E667" s="1">
        <v>4</v>
      </c>
      <c r="F667" s="20">
        <f>Table_supermarket_sales___Sheet13[[#This Row],[Selling Price]]-Table_supermarket_sales___Sheet13[[#This Row],[Cost Price]]</f>
        <v>9.7259999999999991</v>
      </c>
    </row>
    <row r="668" spans="1:6" x14ac:dyDescent="0.35">
      <c r="A668" s="3" t="s">
        <v>5</v>
      </c>
      <c r="B668" s="27">
        <v>57.74</v>
      </c>
      <c r="C668" s="1">
        <v>3</v>
      </c>
      <c r="D668" s="31">
        <f>Table_supermarket_sales___Sheet1[[#This Row],[Cost Price]]+Table57[[#This Row],[Markup Cost]]</f>
        <v>66.400999999999996</v>
      </c>
      <c r="E668" s="4">
        <v>3</v>
      </c>
      <c r="F668" s="20">
        <f>Table_supermarket_sales___Sheet13[[#This Row],[Selling Price]]-Table_supermarket_sales___Sheet13[[#This Row],[Cost Price]]</f>
        <v>8.6609999999999943</v>
      </c>
    </row>
    <row r="669" spans="1:6" x14ac:dyDescent="0.35">
      <c r="A669" s="3" t="s">
        <v>1</v>
      </c>
      <c r="B669" s="27">
        <v>17.97</v>
      </c>
      <c r="C669" s="1">
        <v>4</v>
      </c>
      <c r="D669" s="31">
        <f>Table_supermarket_sales___Sheet1[[#This Row],[Cost Price]]+Table57[[#This Row],[Markup Cost]]</f>
        <v>21.564</v>
      </c>
      <c r="E669" s="1">
        <v>4</v>
      </c>
      <c r="F669" s="20">
        <f>Table_supermarket_sales___Sheet13[[#This Row],[Selling Price]]-Table_supermarket_sales___Sheet13[[#This Row],[Cost Price]]</f>
        <v>3.5940000000000012</v>
      </c>
    </row>
    <row r="670" spans="1:6" x14ac:dyDescent="0.35">
      <c r="A670" s="3" t="s">
        <v>1</v>
      </c>
      <c r="B670" s="27">
        <v>47.71</v>
      </c>
      <c r="C670" s="1">
        <v>6</v>
      </c>
      <c r="D670" s="31">
        <f>Table_supermarket_sales___Sheet1[[#This Row],[Cost Price]]+Table57[[#This Row],[Markup Cost]]</f>
        <v>62.023000000000003</v>
      </c>
      <c r="E670" s="4">
        <v>6</v>
      </c>
      <c r="F670" s="20">
        <f>Table_supermarket_sales___Sheet13[[#This Row],[Selling Price]]-Table_supermarket_sales___Sheet13[[#This Row],[Cost Price]]</f>
        <v>14.313000000000002</v>
      </c>
    </row>
    <row r="671" spans="1:6" x14ac:dyDescent="0.35">
      <c r="A671" s="3" t="s">
        <v>4</v>
      </c>
      <c r="B671" s="27">
        <v>40.619999999999997</v>
      </c>
      <c r="C671" s="1">
        <v>2</v>
      </c>
      <c r="D671" s="31">
        <f>Table_supermarket_sales___Sheet1[[#This Row],[Cost Price]]+Table57[[#This Row],[Markup Cost]]</f>
        <v>44.681999999999995</v>
      </c>
      <c r="E671" s="1">
        <v>2</v>
      </c>
      <c r="F671" s="20">
        <f>Table_supermarket_sales___Sheet13[[#This Row],[Selling Price]]-Table_supermarket_sales___Sheet13[[#This Row],[Cost Price]]</f>
        <v>4.0619999999999976</v>
      </c>
    </row>
    <row r="672" spans="1:6" x14ac:dyDescent="0.35">
      <c r="A672" s="3" t="s">
        <v>6</v>
      </c>
      <c r="B672" s="27">
        <v>56.04</v>
      </c>
      <c r="C672" s="1">
        <v>10</v>
      </c>
      <c r="D672" s="31">
        <f>Table_supermarket_sales___Sheet1[[#This Row],[Cost Price]]+Table57[[#This Row],[Markup Cost]]</f>
        <v>84.06</v>
      </c>
      <c r="E672" s="4">
        <v>10</v>
      </c>
      <c r="F672" s="20">
        <f>Table_supermarket_sales___Sheet13[[#This Row],[Selling Price]]-Table_supermarket_sales___Sheet13[[#This Row],[Cost Price]]</f>
        <v>28.020000000000003</v>
      </c>
    </row>
    <row r="673" spans="1:6" x14ac:dyDescent="0.35">
      <c r="A673" s="3" t="s">
        <v>5</v>
      </c>
      <c r="B673" s="27">
        <v>93.4</v>
      </c>
      <c r="C673" s="1">
        <v>2</v>
      </c>
      <c r="D673" s="31">
        <f>Table_supermarket_sales___Sheet1[[#This Row],[Cost Price]]+Table57[[#This Row],[Markup Cost]]</f>
        <v>102.74000000000001</v>
      </c>
      <c r="E673" s="1">
        <v>2</v>
      </c>
      <c r="F673" s="20">
        <f>Table_supermarket_sales___Sheet13[[#This Row],[Selling Price]]-Table_supermarket_sales___Sheet13[[#This Row],[Cost Price]]</f>
        <v>9.3400000000000034</v>
      </c>
    </row>
    <row r="674" spans="1:6" x14ac:dyDescent="0.35">
      <c r="A674" s="3" t="s">
        <v>1</v>
      </c>
      <c r="B674" s="27">
        <v>73.41</v>
      </c>
      <c r="C674" s="1">
        <v>3</v>
      </c>
      <c r="D674" s="31">
        <f>Table_supermarket_sales___Sheet1[[#This Row],[Cost Price]]+Table57[[#This Row],[Markup Cost]]</f>
        <v>84.421499999999995</v>
      </c>
      <c r="E674" s="4">
        <v>3</v>
      </c>
      <c r="F674" s="20">
        <f>Table_supermarket_sales___Sheet13[[#This Row],[Selling Price]]-Table_supermarket_sales___Sheet13[[#This Row],[Cost Price]]</f>
        <v>11.011499999999998</v>
      </c>
    </row>
    <row r="675" spans="1:6" x14ac:dyDescent="0.35">
      <c r="A675" s="3" t="s">
        <v>1</v>
      </c>
      <c r="B675" s="27">
        <v>33.64</v>
      </c>
      <c r="C675" s="1">
        <v>8</v>
      </c>
      <c r="D675" s="31">
        <f>Table_supermarket_sales___Sheet1[[#This Row],[Cost Price]]+Table57[[#This Row],[Markup Cost]]</f>
        <v>47.096000000000004</v>
      </c>
      <c r="E675" s="1">
        <v>8</v>
      </c>
      <c r="F675" s="20">
        <f>Table_supermarket_sales___Sheet13[[#This Row],[Selling Price]]-Table_supermarket_sales___Sheet13[[#This Row],[Cost Price]]</f>
        <v>13.456000000000003</v>
      </c>
    </row>
    <row r="676" spans="1:6" x14ac:dyDescent="0.35">
      <c r="A676" s="3" t="s">
        <v>2</v>
      </c>
      <c r="B676" s="27">
        <v>45.48</v>
      </c>
      <c r="C676" s="1">
        <v>10</v>
      </c>
      <c r="D676" s="31">
        <f>Table_supermarket_sales___Sheet1[[#This Row],[Cost Price]]+Table57[[#This Row],[Markup Cost]]</f>
        <v>68.22</v>
      </c>
      <c r="E676" s="4">
        <v>10</v>
      </c>
      <c r="F676" s="20">
        <f>Table_supermarket_sales___Sheet13[[#This Row],[Selling Price]]-Table_supermarket_sales___Sheet13[[#This Row],[Cost Price]]</f>
        <v>22.740000000000002</v>
      </c>
    </row>
    <row r="677" spans="1:6" x14ac:dyDescent="0.35">
      <c r="A677" s="3" t="s">
        <v>6</v>
      </c>
      <c r="B677" s="27">
        <v>83.77</v>
      </c>
      <c r="C677" s="1">
        <v>2</v>
      </c>
      <c r="D677" s="31">
        <f>Table_supermarket_sales___Sheet1[[#This Row],[Cost Price]]+Table57[[#This Row],[Markup Cost]]</f>
        <v>92.146999999999991</v>
      </c>
      <c r="E677" s="1">
        <v>2</v>
      </c>
      <c r="F677" s="20">
        <f>Table_supermarket_sales___Sheet13[[#This Row],[Selling Price]]-Table_supermarket_sales___Sheet13[[#This Row],[Cost Price]]</f>
        <v>8.3769999999999953</v>
      </c>
    </row>
    <row r="678" spans="1:6" x14ac:dyDescent="0.35">
      <c r="A678" s="3" t="s">
        <v>4</v>
      </c>
      <c r="B678" s="27">
        <v>64.08</v>
      </c>
      <c r="C678" s="1">
        <v>7</v>
      </c>
      <c r="D678" s="31">
        <f>Table_supermarket_sales___Sheet1[[#This Row],[Cost Price]]+Table57[[#This Row],[Markup Cost]]</f>
        <v>86.507999999999996</v>
      </c>
      <c r="E678" s="4">
        <v>7</v>
      </c>
      <c r="F678" s="20">
        <f>Table_supermarket_sales___Sheet13[[#This Row],[Selling Price]]-Table_supermarket_sales___Sheet13[[#This Row],[Cost Price]]</f>
        <v>22.427999999999997</v>
      </c>
    </row>
    <row r="679" spans="1:6" x14ac:dyDescent="0.35">
      <c r="A679" s="3" t="s">
        <v>5</v>
      </c>
      <c r="B679" s="27">
        <v>73.47</v>
      </c>
      <c r="C679" s="1">
        <v>4</v>
      </c>
      <c r="D679" s="31">
        <f>Table_supermarket_sales___Sheet1[[#This Row],[Cost Price]]+Table57[[#This Row],[Markup Cost]]</f>
        <v>88.164000000000001</v>
      </c>
      <c r="E679" s="1">
        <v>4</v>
      </c>
      <c r="F679" s="20">
        <f>Table_supermarket_sales___Sheet13[[#This Row],[Selling Price]]-Table_supermarket_sales___Sheet13[[#This Row],[Cost Price]]</f>
        <v>14.694000000000003</v>
      </c>
    </row>
    <row r="680" spans="1:6" x14ac:dyDescent="0.35">
      <c r="A680" s="3" t="s">
        <v>1</v>
      </c>
      <c r="B680" s="27">
        <v>58.95</v>
      </c>
      <c r="C680" s="1">
        <v>10</v>
      </c>
      <c r="D680" s="31">
        <f>Table_supermarket_sales___Sheet1[[#This Row],[Cost Price]]+Table57[[#This Row],[Markup Cost]]</f>
        <v>88.425000000000011</v>
      </c>
      <c r="E680" s="4">
        <v>10</v>
      </c>
      <c r="F680" s="20">
        <f>Table_supermarket_sales___Sheet13[[#This Row],[Selling Price]]-Table_supermarket_sales___Sheet13[[#This Row],[Cost Price]]</f>
        <v>29.475000000000009</v>
      </c>
    </row>
    <row r="681" spans="1:6" x14ac:dyDescent="0.35">
      <c r="A681" s="3" t="s">
        <v>5</v>
      </c>
      <c r="B681" s="27">
        <v>48.5</v>
      </c>
      <c r="C681" s="1">
        <v>6</v>
      </c>
      <c r="D681" s="31">
        <f>Table_supermarket_sales___Sheet1[[#This Row],[Cost Price]]+Table57[[#This Row],[Markup Cost]]</f>
        <v>63.05</v>
      </c>
      <c r="E681" s="1">
        <v>6</v>
      </c>
      <c r="F681" s="20">
        <f>Table_supermarket_sales___Sheet13[[#This Row],[Selling Price]]-Table_supermarket_sales___Sheet13[[#This Row],[Cost Price]]</f>
        <v>14.549999999999997</v>
      </c>
    </row>
    <row r="682" spans="1:6" x14ac:dyDescent="0.35">
      <c r="A682" s="3" t="s">
        <v>2</v>
      </c>
      <c r="B682" s="27">
        <v>39.479999999999997</v>
      </c>
      <c r="C682" s="1">
        <v>1</v>
      </c>
      <c r="D682" s="31">
        <f>Table_supermarket_sales___Sheet1[[#This Row],[Cost Price]]+Table57[[#This Row],[Markup Cost]]</f>
        <v>41.453999999999994</v>
      </c>
      <c r="E682" s="4">
        <v>1</v>
      </c>
      <c r="F682" s="20">
        <f>Table_supermarket_sales___Sheet13[[#This Row],[Selling Price]]-Table_supermarket_sales___Sheet13[[#This Row],[Cost Price]]</f>
        <v>1.9739999999999966</v>
      </c>
    </row>
    <row r="683" spans="1:6" x14ac:dyDescent="0.35">
      <c r="A683" s="3" t="s">
        <v>4</v>
      </c>
      <c r="B683" s="27">
        <v>34.81</v>
      </c>
      <c r="C683" s="1">
        <v>1</v>
      </c>
      <c r="D683" s="31">
        <f>Table_supermarket_sales___Sheet1[[#This Row],[Cost Price]]+Table57[[#This Row],[Markup Cost]]</f>
        <v>36.5505</v>
      </c>
      <c r="E683" s="1">
        <v>1</v>
      </c>
      <c r="F683" s="20">
        <f>Table_supermarket_sales___Sheet13[[#This Row],[Selling Price]]-Table_supermarket_sales___Sheet13[[#This Row],[Cost Price]]</f>
        <v>1.7404999999999973</v>
      </c>
    </row>
    <row r="684" spans="1:6" x14ac:dyDescent="0.35">
      <c r="A684" s="3" t="s">
        <v>6</v>
      </c>
      <c r="B684" s="27">
        <v>49.32</v>
      </c>
      <c r="C684" s="1">
        <v>6</v>
      </c>
      <c r="D684" s="31">
        <f>Table_supermarket_sales___Sheet1[[#This Row],[Cost Price]]+Table57[[#This Row],[Markup Cost]]</f>
        <v>64.116</v>
      </c>
      <c r="E684" s="4">
        <v>6</v>
      </c>
      <c r="F684" s="20">
        <f>Table_supermarket_sales___Sheet13[[#This Row],[Selling Price]]-Table_supermarket_sales___Sheet13[[#This Row],[Cost Price]]</f>
        <v>14.795999999999999</v>
      </c>
    </row>
    <row r="685" spans="1:6" x14ac:dyDescent="0.35">
      <c r="A685" s="3" t="s">
        <v>6</v>
      </c>
      <c r="B685" s="27">
        <v>21.48</v>
      </c>
      <c r="C685" s="1">
        <v>2</v>
      </c>
      <c r="D685" s="31">
        <f>Table_supermarket_sales___Sheet1[[#This Row],[Cost Price]]+Table57[[#This Row],[Markup Cost]]</f>
        <v>23.628</v>
      </c>
      <c r="E685" s="1">
        <v>2</v>
      </c>
      <c r="F685" s="20">
        <f>Table_supermarket_sales___Sheet13[[#This Row],[Selling Price]]-Table_supermarket_sales___Sheet13[[#This Row],[Cost Price]]</f>
        <v>2.1479999999999997</v>
      </c>
    </row>
    <row r="686" spans="1:6" x14ac:dyDescent="0.35">
      <c r="A686" s="3" t="s">
        <v>4</v>
      </c>
      <c r="B686" s="27">
        <v>23.08</v>
      </c>
      <c r="C686" s="1">
        <v>6</v>
      </c>
      <c r="D686" s="31">
        <f>Table_supermarket_sales___Sheet1[[#This Row],[Cost Price]]+Table57[[#This Row],[Markup Cost]]</f>
        <v>30.003999999999998</v>
      </c>
      <c r="E686" s="4">
        <v>6</v>
      </c>
      <c r="F686" s="20">
        <f>Table_supermarket_sales___Sheet13[[#This Row],[Selling Price]]-Table_supermarket_sales___Sheet13[[#This Row],[Cost Price]]</f>
        <v>6.9239999999999995</v>
      </c>
    </row>
    <row r="687" spans="1:6" x14ac:dyDescent="0.35">
      <c r="A687" s="3" t="s">
        <v>3</v>
      </c>
      <c r="B687" s="27">
        <v>49.1</v>
      </c>
      <c r="C687" s="1">
        <v>2</v>
      </c>
      <c r="D687" s="31">
        <f>Table_supermarket_sales___Sheet1[[#This Row],[Cost Price]]+Table57[[#This Row],[Markup Cost]]</f>
        <v>54.010000000000005</v>
      </c>
      <c r="E687" s="1">
        <v>2</v>
      </c>
      <c r="F687" s="20">
        <f>Table_supermarket_sales___Sheet13[[#This Row],[Selling Price]]-Table_supermarket_sales___Sheet13[[#This Row],[Cost Price]]</f>
        <v>4.9100000000000037</v>
      </c>
    </row>
    <row r="688" spans="1:6" x14ac:dyDescent="0.35">
      <c r="A688" s="3" t="s">
        <v>4</v>
      </c>
      <c r="B688" s="27">
        <v>64.83</v>
      </c>
      <c r="C688" s="1">
        <v>2</v>
      </c>
      <c r="D688" s="31">
        <f>Table_supermarket_sales___Sheet1[[#This Row],[Cost Price]]+Table57[[#This Row],[Markup Cost]]</f>
        <v>71.313000000000002</v>
      </c>
      <c r="E688" s="4">
        <v>2</v>
      </c>
      <c r="F688" s="20">
        <f>Table_supermarket_sales___Sheet13[[#This Row],[Selling Price]]-Table_supermarket_sales___Sheet13[[#This Row],[Cost Price]]</f>
        <v>6.4830000000000041</v>
      </c>
    </row>
    <row r="689" spans="1:6" x14ac:dyDescent="0.35">
      <c r="A689" s="3" t="s">
        <v>3</v>
      </c>
      <c r="B689" s="27">
        <v>63.56</v>
      </c>
      <c r="C689" s="1">
        <v>10</v>
      </c>
      <c r="D689" s="31">
        <f>Table_supermarket_sales___Sheet1[[#This Row],[Cost Price]]+Table57[[#This Row],[Markup Cost]]</f>
        <v>95.34</v>
      </c>
      <c r="E689" s="1">
        <v>10</v>
      </c>
      <c r="F689" s="20">
        <f>Table_supermarket_sales___Sheet13[[#This Row],[Selling Price]]-Table_supermarket_sales___Sheet13[[#This Row],[Cost Price]]</f>
        <v>31.78</v>
      </c>
    </row>
    <row r="690" spans="1:6" x14ac:dyDescent="0.35">
      <c r="A690" s="3" t="s">
        <v>4</v>
      </c>
      <c r="B690" s="27">
        <v>72.88</v>
      </c>
      <c r="C690" s="1">
        <v>2</v>
      </c>
      <c r="D690" s="31">
        <f>Table_supermarket_sales___Sheet1[[#This Row],[Cost Price]]+Table57[[#This Row],[Markup Cost]]</f>
        <v>80.167999999999992</v>
      </c>
      <c r="E690" s="4">
        <v>2</v>
      </c>
      <c r="F690" s="20">
        <f>Table_supermarket_sales___Sheet13[[#This Row],[Selling Price]]-Table_supermarket_sales___Sheet13[[#This Row],[Cost Price]]</f>
        <v>7.2879999999999967</v>
      </c>
    </row>
    <row r="691" spans="1:6" x14ac:dyDescent="0.35">
      <c r="A691" s="3" t="s">
        <v>5</v>
      </c>
      <c r="B691" s="27">
        <v>67.099999999999994</v>
      </c>
      <c r="C691" s="1">
        <v>3</v>
      </c>
      <c r="D691" s="31">
        <f>Table_supermarket_sales___Sheet1[[#This Row],[Cost Price]]+Table57[[#This Row],[Markup Cost]]</f>
        <v>77.164999999999992</v>
      </c>
      <c r="E691" s="1">
        <v>3</v>
      </c>
      <c r="F691" s="20">
        <f>Table_supermarket_sales___Sheet13[[#This Row],[Selling Price]]-Table_supermarket_sales___Sheet13[[#This Row],[Cost Price]]</f>
        <v>10.064999999999998</v>
      </c>
    </row>
    <row r="692" spans="1:6" x14ac:dyDescent="0.35">
      <c r="A692" s="3" t="s">
        <v>4</v>
      </c>
      <c r="B692" s="27">
        <v>70.19</v>
      </c>
      <c r="C692" s="1">
        <v>9</v>
      </c>
      <c r="D692" s="31">
        <f>Table_supermarket_sales___Sheet1[[#This Row],[Cost Price]]+Table57[[#This Row],[Markup Cost]]</f>
        <v>101.77549999999999</v>
      </c>
      <c r="E692" s="4">
        <v>9</v>
      </c>
      <c r="F692" s="20">
        <f>Table_supermarket_sales___Sheet13[[#This Row],[Selling Price]]-Table_supermarket_sales___Sheet13[[#This Row],[Cost Price]]</f>
        <v>31.585499999999996</v>
      </c>
    </row>
    <row r="693" spans="1:6" x14ac:dyDescent="0.35">
      <c r="A693" s="3" t="s">
        <v>5</v>
      </c>
      <c r="B693" s="27">
        <v>55.04</v>
      </c>
      <c r="C693" s="1">
        <v>7</v>
      </c>
      <c r="D693" s="31">
        <f>Table_supermarket_sales___Sheet1[[#This Row],[Cost Price]]+Table57[[#This Row],[Markup Cost]]</f>
        <v>74.304000000000002</v>
      </c>
      <c r="E693" s="1">
        <v>7</v>
      </c>
      <c r="F693" s="20">
        <f>Table_supermarket_sales___Sheet13[[#This Row],[Selling Price]]-Table_supermarket_sales___Sheet13[[#This Row],[Cost Price]]</f>
        <v>19.264000000000003</v>
      </c>
    </row>
    <row r="694" spans="1:6" x14ac:dyDescent="0.35">
      <c r="A694" s="3" t="s">
        <v>1</v>
      </c>
      <c r="B694" s="27">
        <v>48.63</v>
      </c>
      <c r="C694" s="1">
        <v>10</v>
      </c>
      <c r="D694" s="31">
        <f>Table_supermarket_sales___Sheet1[[#This Row],[Cost Price]]+Table57[[#This Row],[Markup Cost]]</f>
        <v>72.945000000000007</v>
      </c>
      <c r="E694" s="4">
        <v>10</v>
      </c>
      <c r="F694" s="20">
        <f>Table_supermarket_sales___Sheet13[[#This Row],[Selling Price]]-Table_supermarket_sales___Sheet13[[#This Row],[Cost Price]]</f>
        <v>24.315000000000005</v>
      </c>
    </row>
    <row r="695" spans="1:6" x14ac:dyDescent="0.35">
      <c r="A695" s="3" t="s">
        <v>6</v>
      </c>
      <c r="B695" s="27">
        <v>73.38</v>
      </c>
      <c r="C695" s="1">
        <v>7</v>
      </c>
      <c r="D695" s="31">
        <f>Table_supermarket_sales___Sheet1[[#This Row],[Cost Price]]+Table57[[#This Row],[Markup Cost]]</f>
        <v>99.062999999999988</v>
      </c>
      <c r="E695" s="1">
        <v>7</v>
      </c>
      <c r="F695" s="20">
        <f>Table_supermarket_sales___Sheet13[[#This Row],[Selling Price]]-Table_supermarket_sales___Sheet13[[#This Row],[Cost Price]]</f>
        <v>25.682999999999993</v>
      </c>
    </row>
    <row r="696" spans="1:6" x14ac:dyDescent="0.35">
      <c r="A696" s="3" t="s">
        <v>5</v>
      </c>
      <c r="B696" s="27">
        <v>52.6</v>
      </c>
      <c r="C696" s="1">
        <v>9</v>
      </c>
      <c r="D696" s="31">
        <f>Table_supermarket_sales___Sheet1[[#This Row],[Cost Price]]+Table57[[#This Row],[Markup Cost]]</f>
        <v>76.27000000000001</v>
      </c>
      <c r="E696" s="4">
        <v>9</v>
      </c>
      <c r="F696" s="20">
        <f>Table_supermarket_sales___Sheet13[[#This Row],[Selling Price]]-Table_supermarket_sales___Sheet13[[#This Row],[Cost Price]]</f>
        <v>23.670000000000009</v>
      </c>
    </row>
    <row r="697" spans="1:6" x14ac:dyDescent="0.35">
      <c r="A697" s="3" t="s">
        <v>3</v>
      </c>
      <c r="B697" s="27">
        <v>87.37</v>
      </c>
      <c r="C697" s="1">
        <v>5</v>
      </c>
      <c r="D697" s="31">
        <f>Table_supermarket_sales___Sheet1[[#This Row],[Cost Price]]+Table57[[#This Row],[Markup Cost]]</f>
        <v>109.21250000000001</v>
      </c>
      <c r="E697" s="1">
        <v>5</v>
      </c>
      <c r="F697" s="20">
        <f>Table_supermarket_sales___Sheet13[[#This Row],[Selling Price]]-Table_supermarket_sales___Sheet13[[#This Row],[Cost Price]]</f>
        <v>21.842500000000001</v>
      </c>
    </row>
    <row r="698" spans="1:6" x14ac:dyDescent="0.35">
      <c r="A698" s="3" t="s">
        <v>4</v>
      </c>
      <c r="B698" s="27">
        <v>27.04</v>
      </c>
      <c r="C698" s="1">
        <v>4</v>
      </c>
      <c r="D698" s="31">
        <f>Table_supermarket_sales___Sheet1[[#This Row],[Cost Price]]+Table57[[#This Row],[Markup Cost]]</f>
        <v>32.448</v>
      </c>
      <c r="E698" s="4">
        <v>4</v>
      </c>
      <c r="F698" s="20">
        <f>Table_supermarket_sales___Sheet13[[#This Row],[Selling Price]]-Table_supermarket_sales___Sheet13[[#This Row],[Cost Price]]</f>
        <v>5.4080000000000013</v>
      </c>
    </row>
    <row r="699" spans="1:6" x14ac:dyDescent="0.35">
      <c r="A699" s="3" t="s">
        <v>3</v>
      </c>
      <c r="B699" s="27">
        <v>62.19</v>
      </c>
      <c r="C699" s="1">
        <v>4</v>
      </c>
      <c r="D699" s="31">
        <f>Table_supermarket_sales___Sheet1[[#This Row],[Cost Price]]+Table57[[#This Row],[Markup Cost]]</f>
        <v>74.628</v>
      </c>
      <c r="E699" s="1">
        <v>4</v>
      </c>
      <c r="F699" s="20">
        <f>Table_supermarket_sales___Sheet13[[#This Row],[Selling Price]]-Table_supermarket_sales___Sheet13[[#This Row],[Cost Price]]</f>
        <v>12.438000000000002</v>
      </c>
    </row>
    <row r="700" spans="1:6" x14ac:dyDescent="0.35">
      <c r="A700" s="3" t="s">
        <v>2</v>
      </c>
      <c r="B700" s="27">
        <v>69.58</v>
      </c>
      <c r="C700" s="1">
        <v>9</v>
      </c>
      <c r="D700" s="31">
        <f>Table_supermarket_sales___Sheet1[[#This Row],[Cost Price]]+Table57[[#This Row],[Markup Cost]]</f>
        <v>100.89099999999999</v>
      </c>
      <c r="E700" s="4">
        <v>9</v>
      </c>
      <c r="F700" s="20">
        <f>Table_supermarket_sales___Sheet13[[#This Row],[Selling Price]]-Table_supermarket_sales___Sheet13[[#This Row],[Cost Price]]</f>
        <v>31.310999999999993</v>
      </c>
    </row>
    <row r="701" spans="1:6" x14ac:dyDescent="0.35">
      <c r="A701" s="3" t="s">
        <v>3</v>
      </c>
      <c r="B701" s="27">
        <v>97.5</v>
      </c>
      <c r="C701" s="1">
        <v>10</v>
      </c>
      <c r="D701" s="31">
        <f>Table_supermarket_sales___Sheet1[[#This Row],[Cost Price]]+Table57[[#This Row],[Markup Cost]]</f>
        <v>146.25</v>
      </c>
      <c r="E701" s="1">
        <v>10</v>
      </c>
      <c r="F701" s="20">
        <f>Table_supermarket_sales___Sheet13[[#This Row],[Selling Price]]-Table_supermarket_sales___Sheet13[[#This Row],[Cost Price]]</f>
        <v>48.75</v>
      </c>
    </row>
    <row r="702" spans="1:6" x14ac:dyDescent="0.35">
      <c r="A702" s="3" t="s">
        <v>6</v>
      </c>
      <c r="B702" s="27">
        <v>60.41</v>
      </c>
      <c r="C702" s="1">
        <v>8</v>
      </c>
      <c r="D702" s="31">
        <f>Table_supermarket_sales___Sheet1[[#This Row],[Cost Price]]+Table57[[#This Row],[Markup Cost]]</f>
        <v>84.573999999999998</v>
      </c>
      <c r="E702" s="4">
        <v>8</v>
      </c>
      <c r="F702" s="20">
        <f>Table_supermarket_sales___Sheet13[[#This Row],[Selling Price]]-Table_supermarket_sales___Sheet13[[#This Row],[Cost Price]]</f>
        <v>24.164000000000001</v>
      </c>
    </row>
    <row r="703" spans="1:6" x14ac:dyDescent="0.35">
      <c r="A703" s="3" t="s">
        <v>5</v>
      </c>
      <c r="B703" s="27">
        <v>32.32</v>
      </c>
      <c r="C703" s="1">
        <v>3</v>
      </c>
      <c r="D703" s="31">
        <f>Table_supermarket_sales___Sheet1[[#This Row],[Cost Price]]+Table57[[#This Row],[Markup Cost]]</f>
        <v>37.167999999999999</v>
      </c>
      <c r="E703" s="1">
        <v>3</v>
      </c>
      <c r="F703" s="20">
        <f>Table_supermarket_sales___Sheet13[[#This Row],[Selling Price]]-Table_supermarket_sales___Sheet13[[#This Row],[Cost Price]]</f>
        <v>4.847999999999999</v>
      </c>
    </row>
    <row r="704" spans="1:6" x14ac:dyDescent="0.35">
      <c r="A704" s="3" t="s">
        <v>6</v>
      </c>
      <c r="B704" s="27">
        <v>19.77</v>
      </c>
      <c r="C704" s="1">
        <v>10</v>
      </c>
      <c r="D704" s="31">
        <f>Table_supermarket_sales___Sheet1[[#This Row],[Cost Price]]+Table57[[#This Row],[Markup Cost]]</f>
        <v>29.655000000000001</v>
      </c>
      <c r="E704" s="4">
        <v>10</v>
      </c>
      <c r="F704" s="20">
        <f>Table_supermarket_sales___Sheet13[[#This Row],[Selling Price]]-Table_supermarket_sales___Sheet13[[#This Row],[Cost Price]]</f>
        <v>9.8850000000000016</v>
      </c>
    </row>
    <row r="705" spans="1:6" x14ac:dyDescent="0.35">
      <c r="A705" s="3" t="s">
        <v>1</v>
      </c>
      <c r="B705" s="27">
        <v>80.47</v>
      </c>
      <c r="C705" s="1">
        <v>9</v>
      </c>
      <c r="D705" s="31">
        <f>Table_supermarket_sales___Sheet1[[#This Row],[Cost Price]]+Table57[[#This Row],[Markup Cost]]</f>
        <v>116.6815</v>
      </c>
      <c r="E705" s="1">
        <v>9</v>
      </c>
      <c r="F705" s="20">
        <f>Table_supermarket_sales___Sheet13[[#This Row],[Selling Price]]-Table_supermarket_sales___Sheet13[[#This Row],[Cost Price]]</f>
        <v>36.211500000000001</v>
      </c>
    </row>
    <row r="706" spans="1:6" x14ac:dyDescent="0.35">
      <c r="A706" s="3" t="s">
        <v>3</v>
      </c>
      <c r="B706" s="27">
        <v>88.39</v>
      </c>
      <c r="C706" s="1">
        <v>9</v>
      </c>
      <c r="D706" s="31">
        <f>Table_supermarket_sales___Sheet1[[#This Row],[Cost Price]]+Table57[[#This Row],[Markup Cost]]</f>
        <v>128.16550000000001</v>
      </c>
      <c r="E706" s="4">
        <v>9</v>
      </c>
      <c r="F706" s="20">
        <f>Table_supermarket_sales___Sheet13[[#This Row],[Selling Price]]-Table_supermarket_sales___Sheet13[[#This Row],[Cost Price]]</f>
        <v>39.775500000000008</v>
      </c>
    </row>
    <row r="707" spans="1:6" x14ac:dyDescent="0.35">
      <c r="A707" s="3" t="s">
        <v>1</v>
      </c>
      <c r="B707" s="27">
        <v>71.77</v>
      </c>
      <c r="C707" s="1">
        <v>7</v>
      </c>
      <c r="D707" s="31">
        <f>Table_supermarket_sales___Sheet1[[#This Row],[Cost Price]]+Table57[[#This Row],[Markup Cost]]</f>
        <v>96.889499999999998</v>
      </c>
      <c r="E707" s="1">
        <v>7</v>
      </c>
      <c r="F707" s="20">
        <f>Table_supermarket_sales___Sheet13[[#This Row],[Selling Price]]-Table_supermarket_sales___Sheet13[[#This Row],[Cost Price]]</f>
        <v>25.119500000000002</v>
      </c>
    </row>
    <row r="708" spans="1:6" x14ac:dyDescent="0.35">
      <c r="A708" s="3" t="s">
        <v>2</v>
      </c>
      <c r="B708" s="27">
        <v>43</v>
      </c>
      <c r="C708" s="1">
        <v>4</v>
      </c>
      <c r="D708" s="31">
        <f>Table_supermarket_sales___Sheet1[[#This Row],[Cost Price]]+Table57[[#This Row],[Markup Cost]]</f>
        <v>51.6</v>
      </c>
      <c r="E708" s="4">
        <v>4</v>
      </c>
      <c r="F708" s="20">
        <f>Table_supermarket_sales___Sheet13[[#This Row],[Selling Price]]-Table_supermarket_sales___Sheet13[[#This Row],[Cost Price]]</f>
        <v>8.6000000000000014</v>
      </c>
    </row>
    <row r="709" spans="1:6" x14ac:dyDescent="0.35">
      <c r="A709" s="3" t="s">
        <v>5</v>
      </c>
      <c r="B709" s="27">
        <v>68.98</v>
      </c>
      <c r="C709" s="1">
        <v>1</v>
      </c>
      <c r="D709" s="31">
        <f>Table_supermarket_sales___Sheet1[[#This Row],[Cost Price]]+Table57[[#This Row],[Markup Cost]]</f>
        <v>72.429000000000002</v>
      </c>
      <c r="E709" s="1">
        <v>1</v>
      </c>
      <c r="F709" s="20">
        <f>Table_supermarket_sales___Sheet13[[#This Row],[Selling Price]]-Table_supermarket_sales___Sheet13[[#This Row],[Cost Price]]</f>
        <v>3.4489999999999981</v>
      </c>
    </row>
    <row r="710" spans="1:6" x14ac:dyDescent="0.35">
      <c r="A710" s="3" t="s">
        <v>6</v>
      </c>
      <c r="B710" s="27">
        <v>15.62</v>
      </c>
      <c r="C710" s="1">
        <v>8</v>
      </c>
      <c r="D710" s="31">
        <f>Table_supermarket_sales___Sheet1[[#This Row],[Cost Price]]+Table57[[#This Row],[Markup Cost]]</f>
        <v>21.867999999999999</v>
      </c>
      <c r="E710" s="4">
        <v>8</v>
      </c>
      <c r="F710" s="20">
        <f>Table_supermarket_sales___Sheet13[[#This Row],[Selling Price]]-Table_supermarket_sales___Sheet13[[#This Row],[Cost Price]]</f>
        <v>6.2479999999999993</v>
      </c>
    </row>
    <row r="711" spans="1:6" x14ac:dyDescent="0.35">
      <c r="A711" s="3" t="s">
        <v>4</v>
      </c>
      <c r="B711" s="27">
        <v>25.7</v>
      </c>
      <c r="C711" s="1">
        <v>3</v>
      </c>
      <c r="D711" s="31">
        <f>Table_supermarket_sales___Sheet1[[#This Row],[Cost Price]]+Table57[[#This Row],[Markup Cost]]</f>
        <v>29.555</v>
      </c>
      <c r="E711" s="1">
        <v>3</v>
      </c>
      <c r="F711" s="20">
        <f>Table_supermarket_sales___Sheet13[[#This Row],[Selling Price]]-Table_supermarket_sales___Sheet13[[#This Row],[Cost Price]]</f>
        <v>3.8550000000000004</v>
      </c>
    </row>
    <row r="712" spans="1:6" x14ac:dyDescent="0.35">
      <c r="A712" s="3" t="s">
        <v>5</v>
      </c>
      <c r="B712" s="27">
        <v>80.62</v>
      </c>
      <c r="C712" s="1">
        <v>6</v>
      </c>
      <c r="D712" s="31">
        <f>Table_supermarket_sales___Sheet1[[#This Row],[Cost Price]]+Table57[[#This Row],[Markup Cost]]</f>
        <v>104.80600000000001</v>
      </c>
      <c r="E712" s="4">
        <v>6</v>
      </c>
      <c r="F712" s="20">
        <f>Table_supermarket_sales___Sheet13[[#This Row],[Selling Price]]-Table_supermarket_sales___Sheet13[[#This Row],[Cost Price]]</f>
        <v>24.186000000000007</v>
      </c>
    </row>
    <row r="713" spans="1:6" x14ac:dyDescent="0.35">
      <c r="A713" s="3" t="s">
        <v>3</v>
      </c>
      <c r="B713" s="27">
        <v>75.53</v>
      </c>
      <c r="C713" s="1">
        <v>4</v>
      </c>
      <c r="D713" s="31">
        <f>Table_supermarket_sales___Sheet1[[#This Row],[Cost Price]]+Table57[[#This Row],[Markup Cost]]</f>
        <v>90.635999999999996</v>
      </c>
      <c r="E713" s="1">
        <v>4</v>
      </c>
      <c r="F713" s="20">
        <f>Table_supermarket_sales___Sheet13[[#This Row],[Selling Price]]-Table_supermarket_sales___Sheet13[[#This Row],[Cost Price]]</f>
        <v>15.105999999999995</v>
      </c>
    </row>
    <row r="714" spans="1:6" x14ac:dyDescent="0.35">
      <c r="A714" s="3" t="s">
        <v>2</v>
      </c>
      <c r="B714" s="27">
        <v>77.63</v>
      </c>
      <c r="C714" s="1">
        <v>9</v>
      </c>
      <c r="D714" s="31">
        <f>Table_supermarket_sales___Sheet1[[#This Row],[Cost Price]]+Table57[[#This Row],[Markup Cost]]</f>
        <v>112.5635</v>
      </c>
      <c r="E714" s="4">
        <v>9</v>
      </c>
      <c r="F714" s="20">
        <f>Table_supermarket_sales___Sheet13[[#This Row],[Selling Price]]-Table_supermarket_sales___Sheet13[[#This Row],[Cost Price]]</f>
        <v>34.933500000000009</v>
      </c>
    </row>
    <row r="715" spans="1:6" x14ac:dyDescent="0.35">
      <c r="A715" s="3" t="s">
        <v>1</v>
      </c>
      <c r="B715" s="27">
        <v>13.85</v>
      </c>
      <c r="C715" s="1">
        <v>9</v>
      </c>
      <c r="D715" s="31">
        <f>Table_supermarket_sales___Sheet1[[#This Row],[Cost Price]]+Table57[[#This Row],[Markup Cost]]</f>
        <v>20.0825</v>
      </c>
      <c r="E715" s="1">
        <v>9</v>
      </c>
      <c r="F715" s="20">
        <f>Table_supermarket_sales___Sheet13[[#This Row],[Selling Price]]-Table_supermarket_sales___Sheet13[[#This Row],[Cost Price]]</f>
        <v>6.2324999999999999</v>
      </c>
    </row>
    <row r="716" spans="1:6" x14ac:dyDescent="0.35">
      <c r="A716" s="3" t="s">
        <v>6</v>
      </c>
      <c r="B716" s="27">
        <v>98.7</v>
      </c>
      <c r="C716" s="1">
        <v>8</v>
      </c>
      <c r="D716" s="31">
        <f>Table_supermarket_sales___Sheet1[[#This Row],[Cost Price]]+Table57[[#This Row],[Markup Cost]]</f>
        <v>138.18</v>
      </c>
      <c r="E716" s="4">
        <v>8</v>
      </c>
      <c r="F716" s="20">
        <f>Table_supermarket_sales___Sheet13[[#This Row],[Selling Price]]-Table_supermarket_sales___Sheet13[[#This Row],[Cost Price]]</f>
        <v>39.480000000000004</v>
      </c>
    </row>
    <row r="717" spans="1:6" x14ac:dyDescent="0.35">
      <c r="A717" s="3" t="s">
        <v>1</v>
      </c>
      <c r="B717" s="27">
        <v>35.68</v>
      </c>
      <c r="C717" s="1">
        <v>5</v>
      </c>
      <c r="D717" s="31">
        <f>Table_supermarket_sales___Sheet1[[#This Row],[Cost Price]]+Table57[[#This Row],[Markup Cost]]</f>
        <v>44.6</v>
      </c>
      <c r="E717" s="1">
        <v>5</v>
      </c>
      <c r="F717" s="20">
        <f>Table_supermarket_sales___Sheet13[[#This Row],[Selling Price]]-Table_supermarket_sales___Sheet13[[#This Row],[Cost Price]]</f>
        <v>8.9200000000000017</v>
      </c>
    </row>
    <row r="718" spans="1:6" x14ac:dyDescent="0.35">
      <c r="A718" s="3" t="s">
        <v>6</v>
      </c>
      <c r="B718" s="27">
        <v>71.459999999999994</v>
      </c>
      <c r="C718" s="1">
        <v>7</v>
      </c>
      <c r="D718" s="31">
        <f>Table_supermarket_sales___Sheet1[[#This Row],[Cost Price]]+Table57[[#This Row],[Markup Cost]]</f>
        <v>96.470999999999989</v>
      </c>
      <c r="E718" s="4">
        <v>7</v>
      </c>
      <c r="F718" s="20">
        <f>Table_supermarket_sales___Sheet13[[#This Row],[Selling Price]]-Table_supermarket_sales___Sheet13[[#This Row],[Cost Price]]</f>
        <v>25.010999999999996</v>
      </c>
    </row>
    <row r="719" spans="1:6" x14ac:dyDescent="0.35">
      <c r="A719" s="3" t="s">
        <v>2</v>
      </c>
      <c r="B719" s="27">
        <v>11.94</v>
      </c>
      <c r="C719" s="1">
        <v>3</v>
      </c>
      <c r="D719" s="31">
        <f>Table_supermarket_sales___Sheet1[[#This Row],[Cost Price]]+Table57[[#This Row],[Markup Cost]]</f>
        <v>13.731</v>
      </c>
      <c r="E719" s="1">
        <v>3</v>
      </c>
      <c r="F719" s="20">
        <f>Table_supermarket_sales___Sheet13[[#This Row],[Selling Price]]-Table_supermarket_sales___Sheet13[[#This Row],[Cost Price]]</f>
        <v>1.7910000000000004</v>
      </c>
    </row>
    <row r="720" spans="1:6" x14ac:dyDescent="0.35">
      <c r="A720" s="3" t="s">
        <v>6</v>
      </c>
      <c r="B720" s="27">
        <v>45.38</v>
      </c>
      <c r="C720" s="1">
        <v>3</v>
      </c>
      <c r="D720" s="31">
        <f>Table_supermarket_sales___Sheet1[[#This Row],[Cost Price]]+Table57[[#This Row],[Markup Cost]]</f>
        <v>52.187000000000005</v>
      </c>
      <c r="E720" s="4">
        <v>3</v>
      </c>
      <c r="F720" s="20">
        <f>Table_supermarket_sales___Sheet13[[#This Row],[Selling Price]]-Table_supermarket_sales___Sheet13[[#This Row],[Cost Price]]</f>
        <v>6.8070000000000022</v>
      </c>
    </row>
    <row r="721" spans="1:6" x14ac:dyDescent="0.35">
      <c r="A721" s="3" t="s">
        <v>6</v>
      </c>
      <c r="B721" s="27">
        <v>17.48</v>
      </c>
      <c r="C721" s="1">
        <v>6</v>
      </c>
      <c r="D721" s="31">
        <f>Table_supermarket_sales___Sheet1[[#This Row],[Cost Price]]+Table57[[#This Row],[Markup Cost]]</f>
        <v>22.724</v>
      </c>
      <c r="E721" s="1">
        <v>6</v>
      </c>
      <c r="F721" s="20">
        <f>Table_supermarket_sales___Sheet13[[#This Row],[Selling Price]]-Table_supermarket_sales___Sheet13[[#This Row],[Cost Price]]</f>
        <v>5.2439999999999998</v>
      </c>
    </row>
    <row r="722" spans="1:6" x14ac:dyDescent="0.35">
      <c r="A722" s="3" t="s">
        <v>6</v>
      </c>
      <c r="B722" s="27">
        <v>25.56</v>
      </c>
      <c r="C722" s="1">
        <v>7</v>
      </c>
      <c r="D722" s="31">
        <f>Table_supermarket_sales___Sheet1[[#This Row],[Cost Price]]+Table57[[#This Row],[Markup Cost]]</f>
        <v>34.506</v>
      </c>
      <c r="E722" s="4">
        <v>7</v>
      </c>
      <c r="F722" s="20">
        <f>Table_supermarket_sales___Sheet13[[#This Row],[Selling Price]]-Table_supermarket_sales___Sheet13[[#This Row],[Cost Price]]</f>
        <v>8.9460000000000015</v>
      </c>
    </row>
    <row r="723" spans="1:6" x14ac:dyDescent="0.35">
      <c r="A723" s="3" t="s">
        <v>4</v>
      </c>
      <c r="B723" s="27">
        <v>90.63</v>
      </c>
      <c r="C723" s="1">
        <v>9</v>
      </c>
      <c r="D723" s="31">
        <f>Table_supermarket_sales___Sheet1[[#This Row],[Cost Price]]+Table57[[#This Row],[Markup Cost]]</f>
        <v>131.4135</v>
      </c>
      <c r="E723" s="1">
        <v>9</v>
      </c>
      <c r="F723" s="20">
        <f>Table_supermarket_sales___Sheet13[[#This Row],[Selling Price]]-Table_supermarket_sales___Sheet13[[#This Row],[Cost Price]]</f>
        <v>40.783500000000004</v>
      </c>
    </row>
    <row r="724" spans="1:6" x14ac:dyDescent="0.35">
      <c r="A724" s="3" t="s">
        <v>3</v>
      </c>
      <c r="B724" s="27">
        <v>44.12</v>
      </c>
      <c r="C724" s="1">
        <v>3</v>
      </c>
      <c r="D724" s="31">
        <f>Table_supermarket_sales___Sheet1[[#This Row],[Cost Price]]+Table57[[#This Row],[Markup Cost]]</f>
        <v>50.738</v>
      </c>
      <c r="E724" s="4">
        <v>3</v>
      </c>
      <c r="F724" s="20">
        <f>Table_supermarket_sales___Sheet13[[#This Row],[Selling Price]]-Table_supermarket_sales___Sheet13[[#This Row],[Cost Price]]</f>
        <v>6.6180000000000021</v>
      </c>
    </row>
    <row r="725" spans="1:6" x14ac:dyDescent="0.35">
      <c r="A725" s="3" t="s">
        <v>5</v>
      </c>
      <c r="B725" s="27">
        <v>36.770000000000003</v>
      </c>
      <c r="C725" s="1">
        <v>7</v>
      </c>
      <c r="D725" s="31">
        <f>Table_supermarket_sales___Sheet1[[#This Row],[Cost Price]]+Table57[[#This Row],[Markup Cost]]</f>
        <v>49.639500000000005</v>
      </c>
      <c r="E725" s="1">
        <v>7</v>
      </c>
      <c r="F725" s="20">
        <f>Table_supermarket_sales___Sheet13[[#This Row],[Selling Price]]-Table_supermarket_sales___Sheet13[[#This Row],[Cost Price]]</f>
        <v>12.869500000000002</v>
      </c>
    </row>
    <row r="726" spans="1:6" x14ac:dyDescent="0.35">
      <c r="A726" s="3" t="s">
        <v>5</v>
      </c>
      <c r="B726" s="27">
        <v>23.34</v>
      </c>
      <c r="C726" s="1">
        <v>4</v>
      </c>
      <c r="D726" s="31">
        <f>Table_supermarket_sales___Sheet1[[#This Row],[Cost Price]]+Table57[[#This Row],[Markup Cost]]</f>
        <v>28.007999999999999</v>
      </c>
      <c r="E726" s="4">
        <v>4</v>
      </c>
      <c r="F726" s="20">
        <f>Table_supermarket_sales___Sheet13[[#This Row],[Selling Price]]-Table_supermarket_sales___Sheet13[[#This Row],[Cost Price]]</f>
        <v>4.6679999999999993</v>
      </c>
    </row>
    <row r="727" spans="1:6" x14ac:dyDescent="0.35">
      <c r="A727" s="3" t="s">
        <v>1</v>
      </c>
      <c r="B727" s="27">
        <v>28.5</v>
      </c>
      <c r="C727" s="1">
        <v>8</v>
      </c>
      <c r="D727" s="31">
        <f>Table_supermarket_sales___Sheet1[[#This Row],[Cost Price]]+Table57[[#This Row],[Markup Cost]]</f>
        <v>39.9</v>
      </c>
      <c r="E727" s="1">
        <v>8</v>
      </c>
      <c r="F727" s="20">
        <f>Table_supermarket_sales___Sheet13[[#This Row],[Selling Price]]-Table_supermarket_sales___Sheet13[[#This Row],[Cost Price]]</f>
        <v>11.399999999999999</v>
      </c>
    </row>
    <row r="728" spans="1:6" x14ac:dyDescent="0.35">
      <c r="A728" s="3" t="s">
        <v>3</v>
      </c>
      <c r="B728" s="27">
        <v>55.57</v>
      </c>
      <c r="C728" s="1">
        <v>3</v>
      </c>
      <c r="D728" s="31">
        <f>Table_supermarket_sales___Sheet1[[#This Row],[Cost Price]]+Table57[[#This Row],[Markup Cost]]</f>
        <v>63.905500000000004</v>
      </c>
      <c r="E728" s="4">
        <v>3</v>
      </c>
      <c r="F728" s="20">
        <f>Table_supermarket_sales___Sheet13[[#This Row],[Selling Price]]-Table_supermarket_sales___Sheet13[[#This Row],[Cost Price]]</f>
        <v>8.3355000000000032</v>
      </c>
    </row>
    <row r="729" spans="1:6" x14ac:dyDescent="0.35">
      <c r="A729" s="3" t="s">
        <v>4</v>
      </c>
      <c r="B729" s="27">
        <v>69.739999999999995</v>
      </c>
      <c r="C729" s="1">
        <v>10</v>
      </c>
      <c r="D729" s="31">
        <f>Table_supermarket_sales___Sheet1[[#This Row],[Cost Price]]+Table57[[#This Row],[Markup Cost]]</f>
        <v>104.60999999999999</v>
      </c>
      <c r="E729" s="1">
        <v>10</v>
      </c>
      <c r="F729" s="20">
        <f>Table_supermarket_sales___Sheet13[[#This Row],[Selling Price]]-Table_supermarket_sales___Sheet13[[#This Row],[Cost Price]]</f>
        <v>34.86999999999999</v>
      </c>
    </row>
    <row r="730" spans="1:6" x14ac:dyDescent="0.35">
      <c r="A730" s="3" t="s">
        <v>6</v>
      </c>
      <c r="B730" s="27">
        <v>97.26</v>
      </c>
      <c r="C730" s="1">
        <v>4</v>
      </c>
      <c r="D730" s="31">
        <f>Table_supermarket_sales___Sheet1[[#This Row],[Cost Price]]+Table57[[#This Row],[Markup Cost]]</f>
        <v>116.712</v>
      </c>
      <c r="E730" s="4">
        <v>4</v>
      </c>
      <c r="F730" s="20">
        <f>Table_supermarket_sales___Sheet13[[#This Row],[Selling Price]]-Table_supermarket_sales___Sheet13[[#This Row],[Cost Price]]</f>
        <v>19.451999999999998</v>
      </c>
    </row>
    <row r="731" spans="1:6" x14ac:dyDescent="0.35">
      <c r="A731" s="3" t="s">
        <v>3</v>
      </c>
      <c r="B731" s="27">
        <v>52.18</v>
      </c>
      <c r="C731" s="1">
        <v>7</v>
      </c>
      <c r="D731" s="31">
        <f>Table_supermarket_sales___Sheet1[[#This Row],[Cost Price]]+Table57[[#This Row],[Markup Cost]]</f>
        <v>70.442999999999998</v>
      </c>
      <c r="E731" s="1">
        <v>7</v>
      </c>
      <c r="F731" s="20">
        <f>Table_supermarket_sales___Sheet13[[#This Row],[Selling Price]]-Table_supermarket_sales___Sheet13[[#This Row],[Cost Price]]</f>
        <v>18.262999999999998</v>
      </c>
    </row>
    <row r="732" spans="1:6" x14ac:dyDescent="0.35">
      <c r="A732" s="3" t="s">
        <v>6</v>
      </c>
      <c r="B732" s="27">
        <v>22.32</v>
      </c>
      <c r="C732" s="1">
        <v>4</v>
      </c>
      <c r="D732" s="31">
        <f>Table_supermarket_sales___Sheet1[[#This Row],[Cost Price]]+Table57[[#This Row],[Markup Cost]]</f>
        <v>26.783999999999999</v>
      </c>
      <c r="E732" s="4">
        <v>4</v>
      </c>
      <c r="F732" s="20">
        <f>Table_supermarket_sales___Sheet13[[#This Row],[Selling Price]]-Table_supermarket_sales___Sheet13[[#This Row],[Cost Price]]</f>
        <v>4.4639999999999986</v>
      </c>
    </row>
    <row r="733" spans="1:6" x14ac:dyDescent="0.35">
      <c r="A733" s="3" t="s">
        <v>1</v>
      </c>
      <c r="B733" s="27">
        <v>56</v>
      </c>
      <c r="C733" s="1">
        <v>3</v>
      </c>
      <c r="D733" s="31">
        <f>Table_supermarket_sales___Sheet1[[#This Row],[Cost Price]]+Table57[[#This Row],[Markup Cost]]</f>
        <v>64.400000000000006</v>
      </c>
      <c r="E733" s="1">
        <v>3</v>
      </c>
      <c r="F733" s="20">
        <f>Table_supermarket_sales___Sheet13[[#This Row],[Selling Price]]-Table_supermarket_sales___Sheet13[[#This Row],[Cost Price]]</f>
        <v>8.4000000000000057</v>
      </c>
    </row>
    <row r="734" spans="1:6" x14ac:dyDescent="0.35">
      <c r="A734" s="3" t="s">
        <v>6</v>
      </c>
      <c r="B734" s="27">
        <v>19.7</v>
      </c>
      <c r="C734" s="1">
        <v>1</v>
      </c>
      <c r="D734" s="31">
        <f>Table_supermarket_sales___Sheet1[[#This Row],[Cost Price]]+Table57[[#This Row],[Markup Cost]]</f>
        <v>20.684999999999999</v>
      </c>
      <c r="E734" s="4">
        <v>1</v>
      </c>
      <c r="F734" s="20">
        <f>Table_supermarket_sales___Sheet13[[#This Row],[Selling Price]]-Table_supermarket_sales___Sheet13[[#This Row],[Cost Price]]</f>
        <v>0.98499999999999943</v>
      </c>
    </row>
    <row r="735" spans="1:6" x14ac:dyDescent="0.35">
      <c r="A735" s="3" t="s">
        <v>2</v>
      </c>
      <c r="B735" s="27">
        <v>75.88</v>
      </c>
      <c r="C735" s="1">
        <v>7</v>
      </c>
      <c r="D735" s="31">
        <f>Table_supermarket_sales___Sheet1[[#This Row],[Cost Price]]+Table57[[#This Row],[Markup Cost]]</f>
        <v>102.43799999999999</v>
      </c>
      <c r="E735" s="1">
        <v>7</v>
      </c>
      <c r="F735" s="20">
        <f>Table_supermarket_sales___Sheet13[[#This Row],[Selling Price]]-Table_supermarket_sales___Sheet13[[#This Row],[Cost Price]]</f>
        <v>26.557999999999993</v>
      </c>
    </row>
    <row r="736" spans="1:6" x14ac:dyDescent="0.35">
      <c r="A736" s="3" t="s">
        <v>5</v>
      </c>
      <c r="B736" s="27">
        <v>53.72</v>
      </c>
      <c r="C736" s="1">
        <v>1</v>
      </c>
      <c r="D736" s="31">
        <f>Table_supermarket_sales___Sheet1[[#This Row],[Cost Price]]+Table57[[#This Row],[Markup Cost]]</f>
        <v>56.405999999999999</v>
      </c>
      <c r="E736" s="4">
        <v>1</v>
      </c>
      <c r="F736" s="20">
        <f>Table_supermarket_sales___Sheet13[[#This Row],[Selling Price]]-Table_supermarket_sales___Sheet13[[#This Row],[Cost Price]]</f>
        <v>2.6859999999999999</v>
      </c>
    </row>
    <row r="737" spans="1:6" x14ac:dyDescent="0.35">
      <c r="A737" s="3" t="s">
        <v>1</v>
      </c>
      <c r="B737" s="27">
        <v>81.95</v>
      </c>
      <c r="C737" s="1">
        <v>10</v>
      </c>
      <c r="D737" s="31">
        <f>Table_supermarket_sales___Sheet1[[#This Row],[Cost Price]]+Table57[[#This Row],[Markup Cost]]</f>
        <v>122.92500000000001</v>
      </c>
      <c r="E737" s="1">
        <v>10</v>
      </c>
      <c r="F737" s="20">
        <f>Table_supermarket_sales___Sheet13[[#This Row],[Selling Price]]-Table_supermarket_sales___Sheet13[[#This Row],[Cost Price]]</f>
        <v>40.975000000000009</v>
      </c>
    </row>
    <row r="738" spans="1:6" x14ac:dyDescent="0.35">
      <c r="A738" s="3" t="s">
        <v>3</v>
      </c>
      <c r="B738" s="27">
        <v>81.2</v>
      </c>
      <c r="C738" s="1">
        <v>7</v>
      </c>
      <c r="D738" s="31">
        <f>Table_supermarket_sales___Sheet1[[#This Row],[Cost Price]]+Table57[[#This Row],[Markup Cost]]</f>
        <v>109.62</v>
      </c>
      <c r="E738" s="4">
        <v>7</v>
      </c>
      <c r="F738" s="20">
        <f>Table_supermarket_sales___Sheet13[[#This Row],[Selling Price]]-Table_supermarket_sales___Sheet13[[#This Row],[Cost Price]]</f>
        <v>28.42</v>
      </c>
    </row>
    <row r="739" spans="1:6" x14ac:dyDescent="0.35">
      <c r="A739" s="3" t="s">
        <v>2</v>
      </c>
      <c r="B739" s="27">
        <v>58.76</v>
      </c>
      <c r="C739" s="1">
        <v>10</v>
      </c>
      <c r="D739" s="31">
        <f>Table_supermarket_sales___Sheet1[[#This Row],[Cost Price]]+Table57[[#This Row],[Markup Cost]]</f>
        <v>88.14</v>
      </c>
      <c r="E739" s="1">
        <v>10</v>
      </c>
      <c r="F739" s="20">
        <f>Table_supermarket_sales___Sheet13[[#This Row],[Selling Price]]-Table_supermarket_sales___Sheet13[[#This Row],[Cost Price]]</f>
        <v>29.380000000000003</v>
      </c>
    </row>
    <row r="740" spans="1:6" x14ac:dyDescent="0.35">
      <c r="A740" s="3" t="s">
        <v>2</v>
      </c>
      <c r="B740" s="27">
        <v>91.56</v>
      </c>
      <c r="C740" s="1">
        <v>8</v>
      </c>
      <c r="D740" s="31">
        <f>Table_supermarket_sales___Sheet1[[#This Row],[Cost Price]]+Table57[[#This Row],[Markup Cost]]</f>
        <v>128.184</v>
      </c>
      <c r="E740" s="4">
        <v>8</v>
      </c>
      <c r="F740" s="20">
        <f>Table_supermarket_sales___Sheet13[[#This Row],[Selling Price]]-Table_supermarket_sales___Sheet13[[#This Row],[Cost Price]]</f>
        <v>36.623999999999995</v>
      </c>
    </row>
    <row r="741" spans="1:6" x14ac:dyDescent="0.35">
      <c r="A741" s="3" t="s">
        <v>3</v>
      </c>
      <c r="B741" s="27">
        <v>93.96</v>
      </c>
      <c r="C741" s="1">
        <v>9</v>
      </c>
      <c r="D741" s="31">
        <f>Table_supermarket_sales___Sheet1[[#This Row],[Cost Price]]+Table57[[#This Row],[Markup Cost]]</f>
        <v>136.24199999999999</v>
      </c>
      <c r="E741" s="1">
        <v>9</v>
      </c>
      <c r="F741" s="20">
        <f>Table_supermarket_sales___Sheet13[[#This Row],[Selling Price]]-Table_supermarket_sales___Sheet13[[#This Row],[Cost Price]]</f>
        <v>42.281999999999996</v>
      </c>
    </row>
    <row r="742" spans="1:6" x14ac:dyDescent="0.35">
      <c r="A742" s="3" t="s">
        <v>3</v>
      </c>
      <c r="B742" s="27">
        <v>55.61</v>
      </c>
      <c r="C742" s="1">
        <v>7</v>
      </c>
      <c r="D742" s="31">
        <f>Table_supermarket_sales___Sheet1[[#This Row],[Cost Price]]+Table57[[#This Row],[Markup Cost]]</f>
        <v>75.073499999999996</v>
      </c>
      <c r="E742" s="4">
        <v>7</v>
      </c>
      <c r="F742" s="20">
        <f>Table_supermarket_sales___Sheet13[[#This Row],[Selling Price]]-Table_supermarket_sales___Sheet13[[#This Row],[Cost Price]]</f>
        <v>19.463499999999996</v>
      </c>
    </row>
    <row r="743" spans="1:6" x14ac:dyDescent="0.35">
      <c r="A743" s="3" t="s">
        <v>5</v>
      </c>
      <c r="B743" s="27">
        <v>84.83</v>
      </c>
      <c r="C743" s="1">
        <v>1</v>
      </c>
      <c r="D743" s="31">
        <f>Table_supermarket_sales___Sheet1[[#This Row],[Cost Price]]+Table57[[#This Row],[Markup Cost]]</f>
        <v>89.0715</v>
      </c>
      <c r="E743" s="1">
        <v>1</v>
      </c>
      <c r="F743" s="20">
        <f>Table_supermarket_sales___Sheet13[[#This Row],[Selling Price]]-Table_supermarket_sales___Sheet13[[#This Row],[Cost Price]]</f>
        <v>4.241500000000002</v>
      </c>
    </row>
    <row r="744" spans="1:6" x14ac:dyDescent="0.35">
      <c r="A744" s="3" t="s">
        <v>4</v>
      </c>
      <c r="B744" s="27">
        <v>71.63</v>
      </c>
      <c r="C744" s="1">
        <v>2</v>
      </c>
      <c r="D744" s="31">
        <f>Table_supermarket_sales___Sheet1[[#This Row],[Cost Price]]+Table57[[#This Row],[Markup Cost]]</f>
        <v>78.792999999999992</v>
      </c>
      <c r="E744" s="4">
        <v>2</v>
      </c>
      <c r="F744" s="20">
        <f>Table_supermarket_sales___Sheet13[[#This Row],[Selling Price]]-Table_supermarket_sales___Sheet13[[#This Row],[Cost Price]]</f>
        <v>7.1629999999999967</v>
      </c>
    </row>
    <row r="745" spans="1:6" x14ac:dyDescent="0.35">
      <c r="A745" s="3" t="s">
        <v>3</v>
      </c>
      <c r="B745" s="27">
        <v>37.69</v>
      </c>
      <c r="C745" s="1">
        <v>2</v>
      </c>
      <c r="D745" s="31">
        <f>Table_supermarket_sales___Sheet1[[#This Row],[Cost Price]]+Table57[[#This Row],[Markup Cost]]</f>
        <v>41.458999999999996</v>
      </c>
      <c r="E745" s="1">
        <v>2</v>
      </c>
      <c r="F745" s="20">
        <f>Table_supermarket_sales___Sheet13[[#This Row],[Selling Price]]-Table_supermarket_sales___Sheet13[[#This Row],[Cost Price]]</f>
        <v>3.7689999999999984</v>
      </c>
    </row>
    <row r="746" spans="1:6" x14ac:dyDescent="0.35">
      <c r="A746" s="3" t="s">
        <v>4</v>
      </c>
      <c r="B746" s="27">
        <v>31.67</v>
      </c>
      <c r="C746" s="1">
        <v>8</v>
      </c>
      <c r="D746" s="31">
        <f>Table_supermarket_sales___Sheet1[[#This Row],[Cost Price]]+Table57[[#This Row],[Markup Cost]]</f>
        <v>44.338000000000001</v>
      </c>
      <c r="E746" s="4">
        <v>8</v>
      </c>
      <c r="F746" s="20">
        <f>Table_supermarket_sales___Sheet13[[#This Row],[Selling Price]]-Table_supermarket_sales___Sheet13[[#This Row],[Cost Price]]</f>
        <v>12.667999999999999</v>
      </c>
    </row>
    <row r="747" spans="1:6" x14ac:dyDescent="0.35">
      <c r="A747" s="3" t="s">
        <v>5</v>
      </c>
      <c r="B747" s="27">
        <v>38.42</v>
      </c>
      <c r="C747" s="1">
        <v>1</v>
      </c>
      <c r="D747" s="31">
        <f>Table_supermarket_sales___Sheet1[[#This Row],[Cost Price]]+Table57[[#This Row],[Markup Cost]]</f>
        <v>40.341000000000001</v>
      </c>
      <c r="E747" s="1">
        <v>1</v>
      </c>
      <c r="F747" s="20">
        <f>Table_supermarket_sales___Sheet13[[#This Row],[Selling Price]]-Table_supermarket_sales___Sheet13[[#This Row],[Cost Price]]</f>
        <v>1.9209999999999994</v>
      </c>
    </row>
    <row r="748" spans="1:6" x14ac:dyDescent="0.35">
      <c r="A748" s="3" t="s">
        <v>6</v>
      </c>
      <c r="B748" s="27">
        <v>65.23</v>
      </c>
      <c r="C748" s="1">
        <v>10</v>
      </c>
      <c r="D748" s="31">
        <f>Table_supermarket_sales___Sheet1[[#This Row],[Cost Price]]+Table57[[#This Row],[Markup Cost]]</f>
        <v>97.844999999999999</v>
      </c>
      <c r="E748" s="4">
        <v>10</v>
      </c>
      <c r="F748" s="20">
        <f>Table_supermarket_sales___Sheet13[[#This Row],[Selling Price]]-Table_supermarket_sales___Sheet13[[#This Row],[Cost Price]]</f>
        <v>32.614999999999995</v>
      </c>
    </row>
    <row r="749" spans="1:6" x14ac:dyDescent="0.35">
      <c r="A749" s="3" t="s">
        <v>3</v>
      </c>
      <c r="B749" s="27">
        <v>10.53</v>
      </c>
      <c r="C749" s="1">
        <v>5</v>
      </c>
      <c r="D749" s="31">
        <f>Table_supermarket_sales___Sheet1[[#This Row],[Cost Price]]+Table57[[#This Row],[Markup Cost]]</f>
        <v>13.1625</v>
      </c>
      <c r="E749" s="1">
        <v>5</v>
      </c>
      <c r="F749" s="20">
        <f>Table_supermarket_sales___Sheet13[[#This Row],[Selling Price]]-Table_supermarket_sales___Sheet13[[#This Row],[Cost Price]]</f>
        <v>2.6325000000000003</v>
      </c>
    </row>
    <row r="750" spans="1:6" x14ac:dyDescent="0.35">
      <c r="A750" s="3" t="s">
        <v>3</v>
      </c>
      <c r="B750" s="27">
        <v>12.29</v>
      </c>
      <c r="C750" s="1">
        <v>9</v>
      </c>
      <c r="D750" s="31">
        <f>Table_supermarket_sales___Sheet1[[#This Row],[Cost Price]]+Table57[[#This Row],[Markup Cost]]</f>
        <v>17.820499999999999</v>
      </c>
      <c r="E750" s="4">
        <v>9</v>
      </c>
      <c r="F750" s="20">
        <f>Table_supermarket_sales___Sheet13[[#This Row],[Selling Price]]-Table_supermarket_sales___Sheet13[[#This Row],[Cost Price]]</f>
        <v>5.5305</v>
      </c>
    </row>
    <row r="751" spans="1:6" x14ac:dyDescent="0.35">
      <c r="A751" s="3" t="s">
        <v>1</v>
      </c>
      <c r="B751" s="27">
        <v>81.23</v>
      </c>
      <c r="C751" s="1">
        <v>7</v>
      </c>
      <c r="D751" s="31">
        <f>Table_supermarket_sales___Sheet1[[#This Row],[Cost Price]]+Table57[[#This Row],[Markup Cost]]</f>
        <v>109.6605</v>
      </c>
      <c r="E751" s="1">
        <v>7</v>
      </c>
      <c r="F751" s="20">
        <f>Table_supermarket_sales___Sheet13[[#This Row],[Selling Price]]-Table_supermarket_sales___Sheet13[[#This Row],[Cost Price]]</f>
        <v>28.430499999999995</v>
      </c>
    </row>
    <row r="752" spans="1:6" x14ac:dyDescent="0.35">
      <c r="A752" s="3" t="s">
        <v>6</v>
      </c>
      <c r="B752" s="27">
        <v>22.32</v>
      </c>
      <c r="C752" s="1">
        <v>4</v>
      </c>
      <c r="D752" s="31">
        <f>Table_supermarket_sales___Sheet1[[#This Row],[Cost Price]]+Table57[[#This Row],[Markup Cost]]</f>
        <v>26.783999999999999</v>
      </c>
      <c r="E752" s="4">
        <v>4</v>
      </c>
      <c r="F752" s="20">
        <f>Table_supermarket_sales___Sheet13[[#This Row],[Selling Price]]-Table_supermarket_sales___Sheet13[[#This Row],[Cost Price]]</f>
        <v>4.4639999999999986</v>
      </c>
    </row>
    <row r="753" spans="1:6" x14ac:dyDescent="0.35">
      <c r="A753" s="3" t="s">
        <v>5</v>
      </c>
      <c r="B753" s="27">
        <v>27.28</v>
      </c>
      <c r="C753" s="1">
        <v>5</v>
      </c>
      <c r="D753" s="31">
        <f>Table_supermarket_sales___Sheet1[[#This Row],[Cost Price]]+Table57[[#This Row],[Markup Cost]]</f>
        <v>34.1</v>
      </c>
      <c r="E753" s="1">
        <v>5</v>
      </c>
      <c r="F753" s="20">
        <f>Table_supermarket_sales___Sheet13[[#This Row],[Selling Price]]-Table_supermarket_sales___Sheet13[[#This Row],[Cost Price]]</f>
        <v>6.82</v>
      </c>
    </row>
    <row r="754" spans="1:6" x14ac:dyDescent="0.35">
      <c r="A754" s="3" t="s">
        <v>2</v>
      </c>
      <c r="B754" s="27">
        <v>17.420000000000002</v>
      </c>
      <c r="C754" s="1">
        <v>10</v>
      </c>
      <c r="D754" s="31">
        <f>Table_supermarket_sales___Sheet1[[#This Row],[Cost Price]]+Table57[[#This Row],[Markup Cost]]</f>
        <v>26.130000000000003</v>
      </c>
      <c r="E754" s="4">
        <v>10</v>
      </c>
      <c r="F754" s="20">
        <f>Table_supermarket_sales___Sheet13[[#This Row],[Selling Price]]-Table_supermarket_sales___Sheet13[[#This Row],[Cost Price]]</f>
        <v>8.7100000000000009</v>
      </c>
    </row>
    <row r="755" spans="1:6" x14ac:dyDescent="0.35">
      <c r="A755" s="3" t="s">
        <v>3</v>
      </c>
      <c r="B755" s="27">
        <v>73.28</v>
      </c>
      <c r="C755" s="1">
        <v>5</v>
      </c>
      <c r="D755" s="31">
        <f>Table_supermarket_sales___Sheet1[[#This Row],[Cost Price]]+Table57[[#This Row],[Markup Cost]]</f>
        <v>91.6</v>
      </c>
      <c r="E755" s="1">
        <v>5</v>
      </c>
      <c r="F755" s="20">
        <f>Table_supermarket_sales___Sheet13[[#This Row],[Selling Price]]-Table_supermarket_sales___Sheet13[[#This Row],[Cost Price]]</f>
        <v>18.319999999999993</v>
      </c>
    </row>
    <row r="756" spans="1:6" x14ac:dyDescent="0.35">
      <c r="A756" s="3" t="s">
        <v>6</v>
      </c>
      <c r="B756" s="27">
        <v>84.87</v>
      </c>
      <c r="C756" s="1">
        <v>3</v>
      </c>
      <c r="D756" s="31">
        <f>Table_supermarket_sales___Sheet1[[#This Row],[Cost Price]]+Table57[[#This Row],[Markup Cost]]</f>
        <v>97.600500000000011</v>
      </c>
      <c r="E756" s="4">
        <v>3</v>
      </c>
      <c r="F756" s="20">
        <f>Table_supermarket_sales___Sheet13[[#This Row],[Selling Price]]-Table_supermarket_sales___Sheet13[[#This Row],[Cost Price]]</f>
        <v>12.730500000000006</v>
      </c>
    </row>
    <row r="757" spans="1:6" x14ac:dyDescent="0.35">
      <c r="A757" s="3" t="s">
        <v>6</v>
      </c>
      <c r="B757" s="27">
        <v>97.29</v>
      </c>
      <c r="C757" s="1">
        <v>8</v>
      </c>
      <c r="D757" s="31">
        <f>Table_supermarket_sales___Sheet1[[#This Row],[Cost Price]]+Table57[[#This Row],[Markup Cost]]</f>
        <v>136.20600000000002</v>
      </c>
      <c r="E757" s="1">
        <v>8</v>
      </c>
      <c r="F757" s="20">
        <f>Table_supermarket_sales___Sheet13[[#This Row],[Selling Price]]-Table_supermarket_sales___Sheet13[[#This Row],[Cost Price]]</f>
        <v>38.916000000000011</v>
      </c>
    </row>
    <row r="758" spans="1:6" x14ac:dyDescent="0.35">
      <c r="A758" s="3" t="s">
        <v>2</v>
      </c>
      <c r="B758" s="27">
        <v>35.74</v>
      </c>
      <c r="C758" s="1">
        <v>8</v>
      </c>
      <c r="D758" s="31">
        <f>Table_supermarket_sales___Sheet1[[#This Row],[Cost Price]]+Table57[[#This Row],[Markup Cost]]</f>
        <v>50.036000000000001</v>
      </c>
      <c r="E758" s="4">
        <v>8</v>
      </c>
      <c r="F758" s="20">
        <f>Table_supermarket_sales___Sheet13[[#This Row],[Selling Price]]-Table_supermarket_sales___Sheet13[[#This Row],[Cost Price]]</f>
        <v>14.295999999999999</v>
      </c>
    </row>
    <row r="759" spans="1:6" x14ac:dyDescent="0.35">
      <c r="A759" s="3" t="s">
        <v>3</v>
      </c>
      <c r="B759" s="27">
        <v>96.52</v>
      </c>
      <c r="C759" s="1">
        <v>6</v>
      </c>
      <c r="D759" s="31">
        <f>Table_supermarket_sales___Sheet1[[#This Row],[Cost Price]]+Table57[[#This Row],[Markup Cost]]</f>
        <v>125.476</v>
      </c>
      <c r="E759" s="1">
        <v>6</v>
      </c>
      <c r="F759" s="20">
        <f>Table_supermarket_sales___Sheet13[[#This Row],[Selling Price]]-Table_supermarket_sales___Sheet13[[#This Row],[Cost Price]]</f>
        <v>28.956000000000003</v>
      </c>
    </row>
    <row r="760" spans="1:6" x14ac:dyDescent="0.35">
      <c r="A760" s="3" t="s">
        <v>5</v>
      </c>
      <c r="B760" s="27">
        <v>18.850000000000001</v>
      </c>
      <c r="C760" s="1">
        <v>10</v>
      </c>
      <c r="D760" s="31">
        <f>Table_supermarket_sales___Sheet1[[#This Row],[Cost Price]]+Table57[[#This Row],[Markup Cost]]</f>
        <v>28.275000000000002</v>
      </c>
      <c r="E760" s="4">
        <v>10</v>
      </c>
      <c r="F760" s="20">
        <f>Table_supermarket_sales___Sheet13[[#This Row],[Selling Price]]-Table_supermarket_sales___Sheet13[[#This Row],[Cost Price]]</f>
        <v>9.4250000000000007</v>
      </c>
    </row>
    <row r="761" spans="1:6" x14ac:dyDescent="0.35">
      <c r="A761" s="3" t="s">
        <v>5</v>
      </c>
      <c r="B761" s="27">
        <v>55.39</v>
      </c>
      <c r="C761" s="1">
        <v>4</v>
      </c>
      <c r="D761" s="31">
        <f>Table_supermarket_sales___Sheet1[[#This Row],[Cost Price]]+Table57[[#This Row],[Markup Cost]]</f>
        <v>66.468000000000004</v>
      </c>
      <c r="E761" s="1">
        <v>4</v>
      </c>
      <c r="F761" s="20">
        <f>Table_supermarket_sales___Sheet13[[#This Row],[Selling Price]]-Table_supermarket_sales___Sheet13[[#This Row],[Cost Price]]</f>
        <v>11.078000000000003</v>
      </c>
    </row>
    <row r="762" spans="1:6" x14ac:dyDescent="0.35">
      <c r="A762" s="3" t="s">
        <v>5</v>
      </c>
      <c r="B762" s="27">
        <v>77.2</v>
      </c>
      <c r="C762" s="1">
        <v>10</v>
      </c>
      <c r="D762" s="31">
        <f>Table_supermarket_sales___Sheet1[[#This Row],[Cost Price]]+Table57[[#This Row],[Markup Cost]]</f>
        <v>115.80000000000001</v>
      </c>
      <c r="E762" s="4">
        <v>10</v>
      </c>
      <c r="F762" s="20">
        <f>Table_supermarket_sales___Sheet13[[#This Row],[Selling Price]]-Table_supermarket_sales___Sheet13[[#This Row],[Cost Price]]</f>
        <v>38.600000000000009</v>
      </c>
    </row>
    <row r="763" spans="1:6" x14ac:dyDescent="0.35">
      <c r="A763" s="3" t="s">
        <v>2</v>
      </c>
      <c r="B763" s="27">
        <v>72.13</v>
      </c>
      <c r="C763" s="1">
        <v>10</v>
      </c>
      <c r="D763" s="31">
        <f>Table_supermarket_sales___Sheet1[[#This Row],[Cost Price]]+Table57[[#This Row],[Markup Cost]]</f>
        <v>108.19499999999999</v>
      </c>
      <c r="E763" s="1">
        <v>10</v>
      </c>
      <c r="F763" s="20">
        <f>Table_supermarket_sales___Sheet13[[#This Row],[Selling Price]]-Table_supermarket_sales___Sheet13[[#This Row],[Cost Price]]</f>
        <v>36.064999999999998</v>
      </c>
    </row>
    <row r="764" spans="1:6" x14ac:dyDescent="0.35">
      <c r="A764" s="3" t="s">
        <v>6</v>
      </c>
      <c r="B764" s="27">
        <v>63.88</v>
      </c>
      <c r="C764" s="1">
        <v>8</v>
      </c>
      <c r="D764" s="31">
        <f>Table_supermarket_sales___Sheet1[[#This Row],[Cost Price]]+Table57[[#This Row],[Markup Cost]]</f>
        <v>89.432000000000002</v>
      </c>
      <c r="E764" s="4">
        <v>8</v>
      </c>
      <c r="F764" s="20">
        <f>Table_supermarket_sales___Sheet13[[#This Row],[Selling Price]]-Table_supermarket_sales___Sheet13[[#This Row],[Cost Price]]</f>
        <v>25.552</v>
      </c>
    </row>
    <row r="765" spans="1:6" x14ac:dyDescent="0.35">
      <c r="A765" s="3" t="s">
        <v>1</v>
      </c>
      <c r="B765" s="27">
        <v>10.69</v>
      </c>
      <c r="C765" s="1">
        <v>5</v>
      </c>
      <c r="D765" s="31">
        <f>Table_supermarket_sales___Sheet1[[#This Row],[Cost Price]]+Table57[[#This Row],[Markup Cost]]</f>
        <v>13.362499999999999</v>
      </c>
      <c r="E765" s="1">
        <v>5</v>
      </c>
      <c r="F765" s="20">
        <f>Table_supermarket_sales___Sheet13[[#This Row],[Selling Price]]-Table_supermarket_sales___Sheet13[[#This Row],[Cost Price]]</f>
        <v>2.6724999999999994</v>
      </c>
    </row>
    <row r="766" spans="1:6" x14ac:dyDescent="0.35">
      <c r="A766" s="3" t="s">
        <v>1</v>
      </c>
      <c r="B766" s="27">
        <v>55.5</v>
      </c>
      <c r="C766" s="1">
        <v>4</v>
      </c>
      <c r="D766" s="31">
        <f>Table_supermarket_sales___Sheet1[[#This Row],[Cost Price]]+Table57[[#This Row],[Markup Cost]]</f>
        <v>66.599999999999994</v>
      </c>
      <c r="E766" s="4">
        <v>4</v>
      </c>
      <c r="F766" s="20">
        <f>Table_supermarket_sales___Sheet13[[#This Row],[Selling Price]]-Table_supermarket_sales___Sheet13[[#This Row],[Cost Price]]</f>
        <v>11.099999999999994</v>
      </c>
    </row>
    <row r="767" spans="1:6" x14ac:dyDescent="0.35">
      <c r="A767" s="3" t="s">
        <v>3</v>
      </c>
      <c r="B767" s="27">
        <v>95.46</v>
      </c>
      <c r="C767" s="1">
        <v>8</v>
      </c>
      <c r="D767" s="31">
        <f>Table_supermarket_sales___Sheet1[[#This Row],[Cost Price]]+Table57[[#This Row],[Markup Cost]]</f>
        <v>133.64400000000001</v>
      </c>
      <c r="E767" s="1">
        <v>8</v>
      </c>
      <c r="F767" s="20">
        <f>Table_supermarket_sales___Sheet13[[#This Row],[Selling Price]]-Table_supermarket_sales___Sheet13[[#This Row],[Cost Price]]</f>
        <v>38.184000000000012</v>
      </c>
    </row>
    <row r="768" spans="1:6" x14ac:dyDescent="0.35">
      <c r="A768" s="3" t="s">
        <v>6</v>
      </c>
      <c r="B768" s="27">
        <v>76.06</v>
      </c>
      <c r="C768" s="1">
        <v>3</v>
      </c>
      <c r="D768" s="31">
        <f>Table_supermarket_sales___Sheet1[[#This Row],[Cost Price]]+Table57[[#This Row],[Markup Cost]]</f>
        <v>87.469000000000008</v>
      </c>
      <c r="E768" s="4">
        <v>3</v>
      </c>
      <c r="F768" s="20">
        <f>Table_supermarket_sales___Sheet13[[#This Row],[Selling Price]]-Table_supermarket_sales___Sheet13[[#This Row],[Cost Price]]</f>
        <v>11.409000000000006</v>
      </c>
    </row>
    <row r="769" spans="1:6" x14ac:dyDescent="0.35">
      <c r="A769" s="3" t="s">
        <v>4</v>
      </c>
      <c r="B769" s="27">
        <v>13.69</v>
      </c>
      <c r="C769" s="1">
        <v>6</v>
      </c>
      <c r="D769" s="31">
        <f>Table_supermarket_sales___Sheet1[[#This Row],[Cost Price]]+Table57[[#This Row],[Markup Cost]]</f>
        <v>17.797000000000001</v>
      </c>
      <c r="E769" s="1">
        <v>6</v>
      </c>
      <c r="F769" s="20">
        <f>Table_supermarket_sales___Sheet13[[#This Row],[Selling Price]]-Table_supermarket_sales___Sheet13[[#This Row],[Cost Price]]</f>
        <v>4.1070000000000011</v>
      </c>
    </row>
    <row r="770" spans="1:6" x14ac:dyDescent="0.35">
      <c r="A770" s="3" t="s">
        <v>2</v>
      </c>
      <c r="B770" s="27">
        <v>95.64</v>
      </c>
      <c r="C770" s="1">
        <v>4</v>
      </c>
      <c r="D770" s="31">
        <f>Table_supermarket_sales___Sheet1[[#This Row],[Cost Price]]+Table57[[#This Row],[Markup Cost]]</f>
        <v>114.768</v>
      </c>
      <c r="E770" s="4">
        <v>4</v>
      </c>
      <c r="F770" s="20">
        <f>Table_supermarket_sales___Sheet13[[#This Row],[Selling Price]]-Table_supermarket_sales___Sheet13[[#This Row],[Cost Price]]</f>
        <v>19.128</v>
      </c>
    </row>
    <row r="771" spans="1:6" x14ac:dyDescent="0.35">
      <c r="A771" s="3" t="s">
        <v>3</v>
      </c>
      <c r="B771" s="27">
        <v>11.43</v>
      </c>
      <c r="C771" s="1">
        <v>6</v>
      </c>
      <c r="D771" s="31">
        <f>Table_supermarket_sales___Sheet1[[#This Row],[Cost Price]]+Table57[[#This Row],[Markup Cost]]</f>
        <v>14.859</v>
      </c>
      <c r="E771" s="1">
        <v>6</v>
      </c>
      <c r="F771" s="20">
        <f>Table_supermarket_sales___Sheet13[[#This Row],[Selling Price]]-Table_supermarket_sales___Sheet13[[#This Row],[Cost Price]]</f>
        <v>3.4290000000000003</v>
      </c>
    </row>
    <row r="772" spans="1:6" x14ac:dyDescent="0.35">
      <c r="A772" s="3" t="s">
        <v>4</v>
      </c>
      <c r="B772" s="27">
        <v>95.54</v>
      </c>
      <c r="C772" s="1">
        <v>4</v>
      </c>
      <c r="D772" s="31">
        <f>Table_supermarket_sales___Sheet1[[#This Row],[Cost Price]]+Table57[[#This Row],[Markup Cost]]</f>
        <v>114.64800000000001</v>
      </c>
      <c r="E772" s="4">
        <v>4</v>
      </c>
      <c r="F772" s="20">
        <f>Table_supermarket_sales___Sheet13[[#This Row],[Selling Price]]-Table_supermarket_sales___Sheet13[[#This Row],[Cost Price]]</f>
        <v>19.108000000000004</v>
      </c>
    </row>
    <row r="773" spans="1:6" x14ac:dyDescent="0.35">
      <c r="A773" s="3" t="s">
        <v>1</v>
      </c>
      <c r="B773" s="27">
        <v>85.87</v>
      </c>
      <c r="C773" s="1">
        <v>7</v>
      </c>
      <c r="D773" s="31">
        <f>Table_supermarket_sales___Sheet1[[#This Row],[Cost Price]]+Table57[[#This Row],[Markup Cost]]</f>
        <v>115.92450000000001</v>
      </c>
      <c r="E773" s="1">
        <v>7</v>
      </c>
      <c r="F773" s="20">
        <f>Table_supermarket_sales___Sheet13[[#This Row],[Selling Price]]-Table_supermarket_sales___Sheet13[[#This Row],[Cost Price]]</f>
        <v>30.054500000000004</v>
      </c>
    </row>
    <row r="774" spans="1:6" x14ac:dyDescent="0.35">
      <c r="A774" s="3" t="s">
        <v>4</v>
      </c>
      <c r="B774" s="27">
        <v>67.989999999999995</v>
      </c>
      <c r="C774" s="1">
        <v>7</v>
      </c>
      <c r="D774" s="31">
        <f>Table_supermarket_sales___Sheet1[[#This Row],[Cost Price]]+Table57[[#This Row],[Markup Cost]]</f>
        <v>91.78649999999999</v>
      </c>
      <c r="E774" s="4">
        <v>7</v>
      </c>
      <c r="F774" s="20">
        <f>Table_supermarket_sales___Sheet13[[#This Row],[Selling Price]]-Table_supermarket_sales___Sheet13[[#This Row],[Cost Price]]</f>
        <v>23.796499999999995</v>
      </c>
    </row>
    <row r="775" spans="1:6" x14ac:dyDescent="0.35">
      <c r="A775" s="3" t="s">
        <v>5</v>
      </c>
      <c r="B775" s="27">
        <v>52.42</v>
      </c>
      <c r="C775" s="1">
        <v>1</v>
      </c>
      <c r="D775" s="31">
        <f>Table_supermarket_sales___Sheet1[[#This Row],[Cost Price]]+Table57[[#This Row],[Markup Cost]]</f>
        <v>55.041000000000004</v>
      </c>
      <c r="E775" s="1">
        <v>1</v>
      </c>
      <c r="F775" s="20">
        <f>Table_supermarket_sales___Sheet13[[#This Row],[Selling Price]]-Table_supermarket_sales___Sheet13[[#This Row],[Cost Price]]</f>
        <v>2.6210000000000022</v>
      </c>
    </row>
    <row r="776" spans="1:6" x14ac:dyDescent="0.35">
      <c r="A776" s="3" t="s">
        <v>5</v>
      </c>
      <c r="B776" s="27">
        <v>65.650000000000006</v>
      </c>
      <c r="C776" s="1">
        <v>2</v>
      </c>
      <c r="D776" s="31">
        <f>Table_supermarket_sales___Sheet1[[#This Row],[Cost Price]]+Table57[[#This Row],[Markup Cost]]</f>
        <v>72.215000000000003</v>
      </c>
      <c r="E776" s="4">
        <v>2</v>
      </c>
      <c r="F776" s="20">
        <f>Table_supermarket_sales___Sheet13[[#This Row],[Selling Price]]-Table_supermarket_sales___Sheet13[[#This Row],[Cost Price]]</f>
        <v>6.5649999999999977</v>
      </c>
    </row>
    <row r="777" spans="1:6" x14ac:dyDescent="0.35">
      <c r="A777" s="3" t="s">
        <v>5</v>
      </c>
      <c r="B777" s="27">
        <v>28.86</v>
      </c>
      <c r="C777" s="1">
        <v>5</v>
      </c>
      <c r="D777" s="31">
        <f>Table_supermarket_sales___Sheet1[[#This Row],[Cost Price]]+Table57[[#This Row],[Markup Cost]]</f>
        <v>36.075000000000003</v>
      </c>
      <c r="E777" s="1">
        <v>5</v>
      </c>
      <c r="F777" s="20">
        <f>Table_supermarket_sales___Sheet13[[#This Row],[Selling Price]]-Table_supermarket_sales___Sheet13[[#This Row],[Cost Price]]</f>
        <v>7.2150000000000034</v>
      </c>
    </row>
    <row r="778" spans="1:6" x14ac:dyDescent="0.35">
      <c r="A778" s="3" t="s">
        <v>1</v>
      </c>
      <c r="B778" s="27">
        <v>65.31</v>
      </c>
      <c r="C778" s="1">
        <v>7</v>
      </c>
      <c r="D778" s="31">
        <f>Table_supermarket_sales___Sheet1[[#This Row],[Cost Price]]+Table57[[#This Row],[Markup Cost]]</f>
        <v>88.168499999999995</v>
      </c>
      <c r="E778" s="4">
        <v>7</v>
      </c>
      <c r="F778" s="20">
        <f>Table_supermarket_sales___Sheet13[[#This Row],[Selling Price]]-Table_supermarket_sales___Sheet13[[#This Row],[Cost Price]]</f>
        <v>22.858499999999992</v>
      </c>
    </row>
    <row r="779" spans="1:6" x14ac:dyDescent="0.35">
      <c r="A779" s="3" t="s">
        <v>4</v>
      </c>
      <c r="B779" s="27">
        <v>93.38</v>
      </c>
      <c r="C779" s="1">
        <v>1</v>
      </c>
      <c r="D779" s="31">
        <f>Table_supermarket_sales___Sheet1[[#This Row],[Cost Price]]+Table57[[#This Row],[Markup Cost]]</f>
        <v>98.048999999999992</v>
      </c>
      <c r="E779" s="1">
        <v>1</v>
      </c>
      <c r="F779" s="20">
        <f>Table_supermarket_sales___Sheet13[[#This Row],[Selling Price]]-Table_supermarket_sales___Sheet13[[#This Row],[Cost Price]]</f>
        <v>4.6689999999999969</v>
      </c>
    </row>
    <row r="780" spans="1:6" x14ac:dyDescent="0.35">
      <c r="A780" s="3" t="s">
        <v>4</v>
      </c>
      <c r="B780" s="27">
        <v>25.25</v>
      </c>
      <c r="C780" s="1">
        <v>5</v>
      </c>
      <c r="D780" s="31">
        <f>Table_supermarket_sales___Sheet1[[#This Row],[Cost Price]]+Table57[[#This Row],[Markup Cost]]</f>
        <v>31.5625</v>
      </c>
      <c r="E780" s="4">
        <v>5</v>
      </c>
      <c r="F780" s="20">
        <f>Table_supermarket_sales___Sheet13[[#This Row],[Selling Price]]-Table_supermarket_sales___Sheet13[[#This Row],[Cost Price]]</f>
        <v>6.3125</v>
      </c>
    </row>
    <row r="781" spans="1:6" x14ac:dyDescent="0.35">
      <c r="A781" s="3" t="s">
        <v>2</v>
      </c>
      <c r="B781" s="27">
        <v>87.87</v>
      </c>
      <c r="C781" s="1">
        <v>9</v>
      </c>
      <c r="D781" s="31">
        <f>Table_supermarket_sales___Sheet1[[#This Row],[Cost Price]]+Table57[[#This Row],[Markup Cost]]</f>
        <v>127.4115</v>
      </c>
      <c r="E781" s="1">
        <v>9</v>
      </c>
      <c r="F781" s="20">
        <f>Table_supermarket_sales___Sheet13[[#This Row],[Selling Price]]-Table_supermarket_sales___Sheet13[[#This Row],[Cost Price]]</f>
        <v>39.541499999999999</v>
      </c>
    </row>
    <row r="782" spans="1:6" x14ac:dyDescent="0.35">
      <c r="A782" s="3" t="s">
        <v>1</v>
      </c>
      <c r="B782" s="27">
        <v>21.8</v>
      </c>
      <c r="C782" s="1">
        <v>8</v>
      </c>
      <c r="D782" s="31">
        <f>Table_supermarket_sales___Sheet1[[#This Row],[Cost Price]]+Table57[[#This Row],[Markup Cost]]</f>
        <v>30.520000000000003</v>
      </c>
      <c r="E782" s="4">
        <v>8</v>
      </c>
      <c r="F782" s="20">
        <f>Table_supermarket_sales___Sheet13[[#This Row],[Selling Price]]-Table_supermarket_sales___Sheet13[[#This Row],[Cost Price]]</f>
        <v>8.7200000000000024</v>
      </c>
    </row>
    <row r="783" spans="1:6" x14ac:dyDescent="0.35">
      <c r="A783" s="3" t="s">
        <v>4</v>
      </c>
      <c r="B783" s="27">
        <v>94.76</v>
      </c>
      <c r="C783" s="1">
        <v>4</v>
      </c>
      <c r="D783" s="31">
        <f>Table_supermarket_sales___Sheet1[[#This Row],[Cost Price]]+Table57[[#This Row],[Markup Cost]]</f>
        <v>113.712</v>
      </c>
      <c r="E783" s="1">
        <v>4</v>
      </c>
      <c r="F783" s="20">
        <f>Table_supermarket_sales___Sheet13[[#This Row],[Selling Price]]-Table_supermarket_sales___Sheet13[[#This Row],[Cost Price]]</f>
        <v>18.951999999999998</v>
      </c>
    </row>
    <row r="784" spans="1:6" x14ac:dyDescent="0.35">
      <c r="A784" s="3" t="s">
        <v>6</v>
      </c>
      <c r="B784" s="27">
        <v>30.62</v>
      </c>
      <c r="C784" s="1">
        <v>1</v>
      </c>
      <c r="D784" s="31">
        <f>Table_supermarket_sales___Sheet1[[#This Row],[Cost Price]]+Table57[[#This Row],[Markup Cost]]</f>
        <v>32.151000000000003</v>
      </c>
      <c r="E784" s="4">
        <v>1</v>
      </c>
      <c r="F784" s="20">
        <f>Table_supermarket_sales___Sheet13[[#This Row],[Selling Price]]-Table_supermarket_sales___Sheet13[[#This Row],[Cost Price]]</f>
        <v>1.5310000000000024</v>
      </c>
    </row>
    <row r="785" spans="1:6" x14ac:dyDescent="0.35">
      <c r="A785" s="3" t="s">
        <v>3</v>
      </c>
      <c r="B785" s="27">
        <v>44.01</v>
      </c>
      <c r="C785" s="1">
        <v>8</v>
      </c>
      <c r="D785" s="31">
        <f>Table_supermarket_sales___Sheet1[[#This Row],[Cost Price]]+Table57[[#This Row],[Markup Cost]]</f>
        <v>61.613999999999997</v>
      </c>
      <c r="E785" s="1">
        <v>8</v>
      </c>
      <c r="F785" s="20">
        <f>Table_supermarket_sales___Sheet13[[#This Row],[Selling Price]]-Table_supermarket_sales___Sheet13[[#This Row],[Cost Price]]</f>
        <v>17.603999999999999</v>
      </c>
    </row>
    <row r="786" spans="1:6" x14ac:dyDescent="0.35">
      <c r="A786" s="3" t="s">
        <v>1</v>
      </c>
      <c r="B786" s="27">
        <v>10.16</v>
      </c>
      <c r="C786" s="1">
        <v>5</v>
      </c>
      <c r="D786" s="31">
        <f>Table_supermarket_sales___Sheet1[[#This Row],[Cost Price]]+Table57[[#This Row],[Markup Cost]]</f>
        <v>12.7</v>
      </c>
      <c r="E786" s="4">
        <v>5</v>
      </c>
      <c r="F786" s="20">
        <f>Table_supermarket_sales___Sheet13[[#This Row],[Selling Price]]-Table_supermarket_sales___Sheet13[[#This Row],[Cost Price]]</f>
        <v>2.5399999999999991</v>
      </c>
    </row>
    <row r="787" spans="1:6" x14ac:dyDescent="0.35">
      <c r="A787" s="3" t="s">
        <v>2</v>
      </c>
      <c r="B787" s="27">
        <v>74.58</v>
      </c>
      <c r="C787" s="1">
        <v>7</v>
      </c>
      <c r="D787" s="31">
        <f>Table_supermarket_sales___Sheet1[[#This Row],[Cost Price]]+Table57[[#This Row],[Markup Cost]]</f>
        <v>100.68299999999999</v>
      </c>
      <c r="E787" s="1">
        <v>7</v>
      </c>
      <c r="F787" s="20">
        <f>Table_supermarket_sales___Sheet13[[#This Row],[Selling Price]]-Table_supermarket_sales___Sheet13[[#This Row],[Cost Price]]</f>
        <v>26.102999999999994</v>
      </c>
    </row>
    <row r="788" spans="1:6" x14ac:dyDescent="0.35">
      <c r="A788" s="3" t="s">
        <v>2</v>
      </c>
      <c r="B788" s="27">
        <v>71.89</v>
      </c>
      <c r="C788" s="1">
        <v>8</v>
      </c>
      <c r="D788" s="31">
        <f>Table_supermarket_sales___Sheet1[[#This Row],[Cost Price]]+Table57[[#This Row],[Markup Cost]]</f>
        <v>100.646</v>
      </c>
      <c r="E788" s="4">
        <v>8</v>
      </c>
      <c r="F788" s="20">
        <f>Table_supermarket_sales___Sheet13[[#This Row],[Selling Price]]-Table_supermarket_sales___Sheet13[[#This Row],[Cost Price]]</f>
        <v>28.756</v>
      </c>
    </row>
    <row r="789" spans="1:6" x14ac:dyDescent="0.35">
      <c r="A789" s="3" t="s">
        <v>1</v>
      </c>
      <c r="B789" s="27">
        <v>10.99</v>
      </c>
      <c r="C789" s="1">
        <v>5</v>
      </c>
      <c r="D789" s="31">
        <f>Table_supermarket_sales___Sheet1[[#This Row],[Cost Price]]+Table57[[#This Row],[Markup Cost]]</f>
        <v>13.737500000000001</v>
      </c>
      <c r="E789" s="1">
        <v>5</v>
      </c>
      <c r="F789" s="20">
        <f>Table_supermarket_sales___Sheet13[[#This Row],[Selling Price]]-Table_supermarket_sales___Sheet13[[#This Row],[Cost Price]]</f>
        <v>2.7475000000000005</v>
      </c>
    </row>
    <row r="790" spans="1:6" x14ac:dyDescent="0.35">
      <c r="A790" s="3" t="s">
        <v>1</v>
      </c>
      <c r="B790" s="27">
        <v>60.47</v>
      </c>
      <c r="C790" s="1">
        <v>3</v>
      </c>
      <c r="D790" s="31">
        <f>Table_supermarket_sales___Sheet1[[#This Row],[Cost Price]]+Table57[[#This Row],[Markup Cost]]</f>
        <v>69.540499999999994</v>
      </c>
      <c r="E790" s="4">
        <v>3</v>
      </c>
      <c r="F790" s="20">
        <f>Table_supermarket_sales___Sheet13[[#This Row],[Selling Price]]-Table_supermarket_sales___Sheet13[[#This Row],[Cost Price]]</f>
        <v>9.0704999999999956</v>
      </c>
    </row>
    <row r="791" spans="1:6" x14ac:dyDescent="0.35">
      <c r="A791" s="3" t="s">
        <v>4</v>
      </c>
      <c r="B791" s="27">
        <v>58.91</v>
      </c>
      <c r="C791" s="1">
        <v>7</v>
      </c>
      <c r="D791" s="31">
        <f>Table_supermarket_sales___Sheet1[[#This Row],[Cost Price]]+Table57[[#This Row],[Markup Cost]]</f>
        <v>79.528499999999994</v>
      </c>
      <c r="E791" s="1">
        <v>7</v>
      </c>
      <c r="F791" s="20">
        <f>Table_supermarket_sales___Sheet13[[#This Row],[Selling Price]]-Table_supermarket_sales___Sheet13[[#This Row],[Cost Price]]</f>
        <v>20.618499999999997</v>
      </c>
    </row>
    <row r="792" spans="1:6" x14ac:dyDescent="0.35">
      <c r="A792" s="3" t="s">
        <v>6</v>
      </c>
      <c r="B792" s="27">
        <v>46.41</v>
      </c>
      <c r="C792" s="1">
        <v>1</v>
      </c>
      <c r="D792" s="31">
        <f>Table_supermarket_sales___Sheet1[[#This Row],[Cost Price]]+Table57[[#This Row],[Markup Cost]]</f>
        <v>48.730499999999999</v>
      </c>
      <c r="E792" s="4">
        <v>1</v>
      </c>
      <c r="F792" s="20">
        <f>Table_supermarket_sales___Sheet13[[#This Row],[Selling Price]]-Table_supermarket_sales___Sheet13[[#This Row],[Cost Price]]</f>
        <v>2.3205000000000027</v>
      </c>
    </row>
    <row r="793" spans="1:6" x14ac:dyDescent="0.35">
      <c r="A793" s="3" t="s">
        <v>1</v>
      </c>
      <c r="B793" s="27">
        <v>68.55</v>
      </c>
      <c r="C793" s="1">
        <v>4</v>
      </c>
      <c r="D793" s="31">
        <f>Table_supermarket_sales___Sheet1[[#This Row],[Cost Price]]+Table57[[#This Row],[Markup Cost]]</f>
        <v>82.259999999999991</v>
      </c>
      <c r="E793" s="1">
        <v>4</v>
      </c>
      <c r="F793" s="20">
        <f>Table_supermarket_sales___Sheet13[[#This Row],[Selling Price]]-Table_supermarket_sales___Sheet13[[#This Row],[Cost Price]]</f>
        <v>13.709999999999994</v>
      </c>
    </row>
    <row r="794" spans="1:6" x14ac:dyDescent="0.35">
      <c r="A794" s="3" t="s">
        <v>3</v>
      </c>
      <c r="B794" s="27">
        <v>97.37</v>
      </c>
      <c r="C794" s="1">
        <v>10</v>
      </c>
      <c r="D794" s="31">
        <f>Table_supermarket_sales___Sheet1[[#This Row],[Cost Price]]+Table57[[#This Row],[Markup Cost]]</f>
        <v>146.05500000000001</v>
      </c>
      <c r="E794" s="4">
        <v>10</v>
      </c>
      <c r="F794" s="20">
        <f>Table_supermarket_sales___Sheet13[[#This Row],[Selling Price]]-Table_supermarket_sales___Sheet13[[#This Row],[Cost Price]]</f>
        <v>48.685000000000002</v>
      </c>
    </row>
    <row r="795" spans="1:6" x14ac:dyDescent="0.35">
      <c r="A795" s="3" t="s">
        <v>2</v>
      </c>
      <c r="B795" s="27">
        <v>92.6</v>
      </c>
      <c r="C795" s="1">
        <v>7</v>
      </c>
      <c r="D795" s="31">
        <f>Table_supermarket_sales___Sheet1[[#This Row],[Cost Price]]+Table57[[#This Row],[Markup Cost]]</f>
        <v>125.00999999999999</v>
      </c>
      <c r="E795" s="1">
        <v>7</v>
      </c>
      <c r="F795" s="20">
        <f>Table_supermarket_sales___Sheet13[[#This Row],[Selling Price]]-Table_supermarket_sales___Sheet13[[#This Row],[Cost Price]]</f>
        <v>32.409999999999997</v>
      </c>
    </row>
    <row r="796" spans="1:6" x14ac:dyDescent="0.35">
      <c r="A796" s="3" t="s">
        <v>2</v>
      </c>
      <c r="B796" s="27">
        <v>46.61</v>
      </c>
      <c r="C796" s="1">
        <v>2</v>
      </c>
      <c r="D796" s="31">
        <f>Table_supermarket_sales___Sheet1[[#This Row],[Cost Price]]+Table57[[#This Row],[Markup Cost]]</f>
        <v>51.271000000000001</v>
      </c>
      <c r="E796" s="4">
        <v>2</v>
      </c>
      <c r="F796" s="20">
        <f>Table_supermarket_sales___Sheet13[[#This Row],[Selling Price]]-Table_supermarket_sales___Sheet13[[#This Row],[Cost Price]]</f>
        <v>4.6610000000000014</v>
      </c>
    </row>
    <row r="797" spans="1:6" x14ac:dyDescent="0.35">
      <c r="A797" s="3" t="s">
        <v>6</v>
      </c>
      <c r="B797" s="27">
        <v>27.18</v>
      </c>
      <c r="C797" s="1">
        <v>2</v>
      </c>
      <c r="D797" s="31">
        <f>Table_supermarket_sales___Sheet1[[#This Row],[Cost Price]]+Table57[[#This Row],[Markup Cost]]</f>
        <v>29.898</v>
      </c>
      <c r="E797" s="1">
        <v>2</v>
      </c>
      <c r="F797" s="20">
        <f>Table_supermarket_sales___Sheet13[[#This Row],[Selling Price]]-Table_supermarket_sales___Sheet13[[#This Row],[Cost Price]]</f>
        <v>2.718</v>
      </c>
    </row>
    <row r="798" spans="1:6" x14ac:dyDescent="0.35">
      <c r="A798" s="3" t="s">
        <v>3</v>
      </c>
      <c r="B798" s="27">
        <v>60.87</v>
      </c>
      <c r="C798" s="1">
        <v>1</v>
      </c>
      <c r="D798" s="31">
        <f>Table_supermarket_sales___Sheet1[[#This Row],[Cost Price]]+Table57[[#This Row],[Markup Cost]]</f>
        <v>63.913499999999999</v>
      </c>
      <c r="E798" s="4">
        <v>1</v>
      </c>
      <c r="F798" s="20">
        <f>Table_supermarket_sales___Sheet13[[#This Row],[Selling Price]]-Table_supermarket_sales___Sheet13[[#This Row],[Cost Price]]</f>
        <v>3.0435000000000016</v>
      </c>
    </row>
    <row r="799" spans="1:6" x14ac:dyDescent="0.35">
      <c r="A799" s="3" t="s">
        <v>4</v>
      </c>
      <c r="B799" s="27">
        <v>24.49</v>
      </c>
      <c r="C799" s="1">
        <v>10</v>
      </c>
      <c r="D799" s="31">
        <f>Table_supermarket_sales___Sheet1[[#This Row],[Cost Price]]+Table57[[#This Row],[Markup Cost]]</f>
        <v>36.734999999999999</v>
      </c>
      <c r="E799" s="1">
        <v>10</v>
      </c>
      <c r="F799" s="20">
        <f>Table_supermarket_sales___Sheet13[[#This Row],[Selling Price]]-Table_supermarket_sales___Sheet13[[#This Row],[Cost Price]]</f>
        <v>12.245000000000001</v>
      </c>
    </row>
    <row r="800" spans="1:6" x14ac:dyDescent="0.35">
      <c r="A800" s="3" t="s">
        <v>1</v>
      </c>
      <c r="B800" s="27">
        <v>92.78</v>
      </c>
      <c r="C800" s="1">
        <v>1</v>
      </c>
      <c r="D800" s="31">
        <f>Table_supermarket_sales___Sheet1[[#This Row],[Cost Price]]+Table57[[#This Row],[Markup Cost]]</f>
        <v>97.418999999999997</v>
      </c>
      <c r="E800" s="4">
        <v>1</v>
      </c>
      <c r="F800" s="20">
        <f>Table_supermarket_sales___Sheet13[[#This Row],[Selling Price]]-Table_supermarket_sales___Sheet13[[#This Row],[Cost Price]]</f>
        <v>4.6389999999999958</v>
      </c>
    </row>
    <row r="801" spans="1:6" x14ac:dyDescent="0.35">
      <c r="A801" s="3" t="s">
        <v>3</v>
      </c>
      <c r="B801" s="27">
        <v>86.69</v>
      </c>
      <c r="C801" s="1">
        <v>5</v>
      </c>
      <c r="D801" s="31">
        <f>Table_supermarket_sales___Sheet1[[#This Row],[Cost Price]]+Table57[[#This Row],[Markup Cost]]</f>
        <v>108.3625</v>
      </c>
      <c r="E801" s="1">
        <v>5</v>
      </c>
      <c r="F801" s="20">
        <f>Table_supermarket_sales___Sheet13[[#This Row],[Selling Price]]-Table_supermarket_sales___Sheet13[[#This Row],[Cost Price]]</f>
        <v>21.672499999999999</v>
      </c>
    </row>
    <row r="802" spans="1:6" x14ac:dyDescent="0.35">
      <c r="A802" s="3" t="s">
        <v>4</v>
      </c>
      <c r="B802" s="27">
        <v>23.01</v>
      </c>
      <c r="C802" s="1">
        <v>6</v>
      </c>
      <c r="D802" s="31">
        <f>Table_supermarket_sales___Sheet1[[#This Row],[Cost Price]]+Table57[[#This Row],[Markup Cost]]</f>
        <v>29.913</v>
      </c>
      <c r="E802" s="4">
        <v>6</v>
      </c>
      <c r="F802" s="20">
        <f>Table_supermarket_sales___Sheet13[[#This Row],[Selling Price]]-Table_supermarket_sales___Sheet13[[#This Row],[Cost Price]]</f>
        <v>6.9029999999999987</v>
      </c>
    </row>
    <row r="803" spans="1:6" x14ac:dyDescent="0.35">
      <c r="A803" s="3" t="s">
        <v>2</v>
      </c>
      <c r="B803" s="27">
        <v>30.2</v>
      </c>
      <c r="C803" s="1">
        <v>8</v>
      </c>
      <c r="D803" s="31">
        <f>Table_supermarket_sales___Sheet1[[#This Row],[Cost Price]]+Table57[[#This Row],[Markup Cost]]</f>
        <v>42.28</v>
      </c>
      <c r="E803" s="1">
        <v>8</v>
      </c>
      <c r="F803" s="20">
        <f>Table_supermarket_sales___Sheet13[[#This Row],[Selling Price]]-Table_supermarket_sales___Sheet13[[#This Row],[Cost Price]]</f>
        <v>12.080000000000002</v>
      </c>
    </row>
    <row r="804" spans="1:6" x14ac:dyDescent="0.35">
      <c r="A804" s="3" t="s">
        <v>6</v>
      </c>
      <c r="B804" s="27">
        <v>67.39</v>
      </c>
      <c r="C804" s="1">
        <v>7</v>
      </c>
      <c r="D804" s="31">
        <f>Table_supermarket_sales___Sheet1[[#This Row],[Cost Price]]+Table57[[#This Row],[Markup Cost]]</f>
        <v>90.976500000000001</v>
      </c>
      <c r="E804" s="4">
        <v>7</v>
      </c>
      <c r="F804" s="20">
        <f>Table_supermarket_sales___Sheet13[[#This Row],[Selling Price]]-Table_supermarket_sales___Sheet13[[#This Row],[Cost Price]]</f>
        <v>23.586500000000001</v>
      </c>
    </row>
    <row r="805" spans="1:6" x14ac:dyDescent="0.35">
      <c r="A805" s="3" t="s">
        <v>6</v>
      </c>
      <c r="B805" s="27">
        <v>48.96</v>
      </c>
      <c r="C805" s="1">
        <v>9</v>
      </c>
      <c r="D805" s="31">
        <f>Table_supermarket_sales___Sheet1[[#This Row],[Cost Price]]+Table57[[#This Row],[Markup Cost]]</f>
        <v>70.992000000000004</v>
      </c>
      <c r="E805" s="1">
        <v>9</v>
      </c>
      <c r="F805" s="20">
        <f>Table_supermarket_sales___Sheet13[[#This Row],[Selling Price]]-Table_supermarket_sales___Sheet13[[#This Row],[Cost Price]]</f>
        <v>22.032000000000004</v>
      </c>
    </row>
    <row r="806" spans="1:6" x14ac:dyDescent="0.35">
      <c r="A806" s="3" t="s">
        <v>2</v>
      </c>
      <c r="B806" s="27">
        <v>75.59</v>
      </c>
      <c r="C806" s="1">
        <v>9</v>
      </c>
      <c r="D806" s="31">
        <f>Table_supermarket_sales___Sheet1[[#This Row],[Cost Price]]+Table57[[#This Row],[Markup Cost]]</f>
        <v>109.60550000000001</v>
      </c>
      <c r="E806" s="4">
        <v>9</v>
      </c>
      <c r="F806" s="20">
        <f>Table_supermarket_sales___Sheet13[[#This Row],[Selling Price]]-Table_supermarket_sales___Sheet13[[#This Row],[Cost Price]]</f>
        <v>34.015500000000003</v>
      </c>
    </row>
    <row r="807" spans="1:6" x14ac:dyDescent="0.35">
      <c r="A807" s="3" t="s">
        <v>3</v>
      </c>
      <c r="B807" s="27">
        <v>77.47</v>
      </c>
      <c r="C807" s="1">
        <v>4</v>
      </c>
      <c r="D807" s="31">
        <f>Table_supermarket_sales___Sheet1[[#This Row],[Cost Price]]+Table57[[#This Row],[Markup Cost]]</f>
        <v>92.963999999999999</v>
      </c>
      <c r="E807" s="1">
        <v>4</v>
      </c>
      <c r="F807" s="20">
        <f>Table_supermarket_sales___Sheet13[[#This Row],[Selling Price]]-Table_supermarket_sales___Sheet13[[#This Row],[Cost Price]]</f>
        <v>15.494</v>
      </c>
    </row>
    <row r="808" spans="1:6" x14ac:dyDescent="0.35">
      <c r="A808" s="3" t="s">
        <v>4</v>
      </c>
      <c r="B808" s="27">
        <v>93.18</v>
      </c>
      <c r="C808" s="1">
        <v>2</v>
      </c>
      <c r="D808" s="31">
        <f>Table_supermarket_sales___Sheet1[[#This Row],[Cost Price]]+Table57[[#This Row],[Markup Cost]]</f>
        <v>102.498</v>
      </c>
      <c r="E808" s="4">
        <v>2</v>
      </c>
      <c r="F808" s="20">
        <f>Table_supermarket_sales___Sheet13[[#This Row],[Selling Price]]-Table_supermarket_sales___Sheet13[[#This Row],[Cost Price]]</f>
        <v>9.3179999999999978</v>
      </c>
    </row>
    <row r="809" spans="1:6" x14ac:dyDescent="0.35">
      <c r="A809" s="3" t="s">
        <v>2</v>
      </c>
      <c r="B809" s="27">
        <v>50.23</v>
      </c>
      <c r="C809" s="1">
        <v>4</v>
      </c>
      <c r="D809" s="31">
        <f>Table_supermarket_sales___Sheet1[[#This Row],[Cost Price]]+Table57[[#This Row],[Markup Cost]]</f>
        <v>60.275999999999996</v>
      </c>
      <c r="E809" s="1">
        <v>4</v>
      </c>
      <c r="F809" s="20">
        <f>Table_supermarket_sales___Sheet13[[#This Row],[Selling Price]]-Table_supermarket_sales___Sheet13[[#This Row],[Cost Price]]</f>
        <v>10.045999999999999</v>
      </c>
    </row>
    <row r="810" spans="1:6" x14ac:dyDescent="0.35">
      <c r="A810" s="3" t="s">
        <v>1</v>
      </c>
      <c r="B810" s="27">
        <v>17.75</v>
      </c>
      <c r="C810" s="1">
        <v>1</v>
      </c>
      <c r="D810" s="31">
        <f>Table_supermarket_sales___Sheet1[[#This Row],[Cost Price]]+Table57[[#This Row],[Markup Cost]]</f>
        <v>18.637499999999999</v>
      </c>
      <c r="E810" s="4">
        <v>1</v>
      </c>
      <c r="F810" s="20">
        <f>Table_supermarket_sales___Sheet13[[#This Row],[Selling Price]]-Table_supermarket_sales___Sheet13[[#This Row],[Cost Price]]</f>
        <v>0.88749999999999929</v>
      </c>
    </row>
    <row r="811" spans="1:6" x14ac:dyDescent="0.35">
      <c r="A811" s="3" t="s">
        <v>6</v>
      </c>
      <c r="B811" s="27">
        <v>62.18</v>
      </c>
      <c r="C811" s="1">
        <v>10</v>
      </c>
      <c r="D811" s="31">
        <f>Table_supermarket_sales___Sheet1[[#This Row],[Cost Price]]+Table57[[#This Row],[Markup Cost]]</f>
        <v>93.27</v>
      </c>
      <c r="E811" s="1">
        <v>10</v>
      </c>
      <c r="F811" s="20">
        <f>Table_supermarket_sales___Sheet13[[#This Row],[Selling Price]]-Table_supermarket_sales___Sheet13[[#This Row],[Cost Price]]</f>
        <v>31.089999999999996</v>
      </c>
    </row>
    <row r="812" spans="1:6" x14ac:dyDescent="0.35">
      <c r="A812" s="3" t="s">
        <v>1</v>
      </c>
      <c r="B812" s="27">
        <v>10.75</v>
      </c>
      <c r="C812" s="1">
        <v>8</v>
      </c>
      <c r="D812" s="31">
        <f>Table_supermarket_sales___Sheet1[[#This Row],[Cost Price]]+Table57[[#This Row],[Markup Cost]]</f>
        <v>15.05</v>
      </c>
      <c r="E812" s="4">
        <v>8</v>
      </c>
      <c r="F812" s="20">
        <f>Table_supermarket_sales___Sheet13[[#This Row],[Selling Price]]-Table_supermarket_sales___Sheet13[[#This Row],[Cost Price]]</f>
        <v>4.3000000000000007</v>
      </c>
    </row>
    <row r="813" spans="1:6" x14ac:dyDescent="0.35">
      <c r="A813" s="3" t="s">
        <v>2</v>
      </c>
      <c r="B813" s="27">
        <v>40.26</v>
      </c>
      <c r="C813" s="1">
        <v>10</v>
      </c>
      <c r="D813" s="31">
        <f>Table_supermarket_sales___Sheet1[[#This Row],[Cost Price]]+Table57[[#This Row],[Markup Cost]]</f>
        <v>60.39</v>
      </c>
      <c r="E813" s="1">
        <v>10</v>
      </c>
      <c r="F813" s="20">
        <f>Table_supermarket_sales___Sheet13[[#This Row],[Selling Price]]-Table_supermarket_sales___Sheet13[[#This Row],[Cost Price]]</f>
        <v>20.130000000000003</v>
      </c>
    </row>
    <row r="814" spans="1:6" x14ac:dyDescent="0.35">
      <c r="A814" s="3" t="s">
        <v>4</v>
      </c>
      <c r="B814" s="27">
        <v>64.97</v>
      </c>
      <c r="C814" s="1">
        <v>5</v>
      </c>
      <c r="D814" s="31">
        <f>Table_supermarket_sales___Sheet1[[#This Row],[Cost Price]]+Table57[[#This Row],[Markup Cost]]</f>
        <v>81.212500000000006</v>
      </c>
      <c r="E814" s="4">
        <v>5</v>
      </c>
      <c r="F814" s="20">
        <f>Table_supermarket_sales___Sheet13[[#This Row],[Selling Price]]-Table_supermarket_sales___Sheet13[[#This Row],[Cost Price]]</f>
        <v>16.242500000000007</v>
      </c>
    </row>
    <row r="815" spans="1:6" x14ac:dyDescent="0.35">
      <c r="A815" s="3" t="s">
        <v>2</v>
      </c>
      <c r="B815" s="27">
        <v>95.15</v>
      </c>
      <c r="C815" s="1">
        <v>1</v>
      </c>
      <c r="D815" s="31">
        <f>Table_supermarket_sales___Sheet1[[#This Row],[Cost Price]]+Table57[[#This Row],[Markup Cost]]</f>
        <v>99.907499999999999</v>
      </c>
      <c r="E815" s="1">
        <v>1</v>
      </c>
      <c r="F815" s="20">
        <f>Table_supermarket_sales___Sheet13[[#This Row],[Selling Price]]-Table_supermarket_sales___Sheet13[[#This Row],[Cost Price]]</f>
        <v>4.7574999999999932</v>
      </c>
    </row>
    <row r="816" spans="1:6" x14ac:dyDescent="0.35">
      <c r="A816" s="3" t="s">
        <v>2</v>
      </c>
      <c r="B816" s="27">
        <v>48.62</v>
      </c>
      <c r="C816" s="1">
        <v>8</v>
      </c>
      <c r="D816" s="31">
        <f>Table_supermarket_sales___Sheet1[[#This Row],[Cost Price]]+Table57[[#This Row],[Markup Cost]]</f>
        <v>68.067999999999998</v>
      </c>
      <c r="E816" s="4">
        <v>8</v>
      </c>
      <c r="F816" s="20">
        <f>Table_supermarket_sales___Sheet13[[#This Row],[Selling Price]]-Table_supermarket_sales___Sheet13[[#This Row],[Cost Price]]</f>
        <v>19.448</v>
      </c>
    </row>
    <row r="817" spans="1:6" x14ac:dyDescent="0.35">
      <c r="A817" s="3" t="s">
        <v>5</v>
      </c>
      <c r="B817" s="27">
        <v>53.21</v>
      </c>
      <c r="C817" s="1">
        <v>8</v>
      </c>
      <c r="D817" s="31">
        <f>Table_supermarket_sales___Sheet1[[#This Row],[Cost Price]]+Table57[[#This Row],[Markup Cost]]</f>
        <v>74.494</v>
      </c>
      <c r="E817" s="1">
        <v>8</v>
      </c>
      <c r="F817" s="20">
        <f>Table_supermarket_sales___Sheet13[[#This Row],[Selling Price]]-Table_supermarket_sales___Sheet13[[#This Row],[Cost Price]]</f>
        <v>21.283999999999999</v>
      </c>
    </row>
    <row r="818" spans="1:6" x14ac:dyDescent="0.35">
      <c r="A818" s="3" t="s">
        <v>6</v>
      </c>
      <c r="B818" s="27">
        <v>45.44</v>
      </c>
      <c r="C818" s="1">
        <v>7</v>
      </c>
      <c r="D818" s="31">
        <f>Table_supermarket_sales___Sheet1[[#This Row],[Cost Price]]+Table57[[#This Row],[Markup Cost]]</f>
        <v>61.343999999999994</v>
      </c>
      <c r="E818" s="4">
        <v>7</v>
      </c>
      <c r="F818" s="20">
        <f>Table_supermarket_sales___Sheet13[[#This Row],[Selling Price]]-Table_supermarket_sales___Sheet13[[#This Row],[Cost Price]]</f>
        <v>15.903999999999996</v>
      </c>
    </row>
    <row r="819" spans="1:6" x14ac:dyDescent="0.35">
      <c r="A819" s="3" t="s">
        <v>5</v>
      </c>
      <c r="B819" s="27">
        <v>33.880000000000003</v>
      </c>
      <c r="C819" s="1">
        <v>8</v>
      </c>
      <c r="D819" s="31">
        <f>Table_supermarket_sales___Sheet1[[#This Row],[Cost Price]]+Table57[[#This Row],[Markup Cost]]</f>
        <v>47.432000000000002</v>
      </c>
      <c r="E819" s="1">
        <v>8</v>
      </c>
      <c r="F819" s="20">
        <f>Table_supermarket_sales___Sheet13[[#This Row],[Selling Price]]-Table_supermarket_sales___Sheet13[[#This Row],[Cost Price]]</f>
        <v>13.552</v>
      </c>
    </row>
    <row r="820" spans="1:6" x14ac:dyDescent="0.35">
      <c r="A820" s="3" t="s">
        <v>1</v>
      </c>
      <c r="B820" s="27">
        <v>96.16</v>
      </c>
      <c r="C820" s="1">
        <v>4</v>
      </c>
      <c r="D820" s="31">
        <f>Table_supermarket_sales___Sheet1[[#This Row],[Cost Price]]+Table57[[#This Row],[Markup Cost]]</f>
        <v>115.392</v>
      </c>
      <c r="E820" s="4">
        <v>4</v>
      </c>
      <c r="F820" s="20">
        <f>Table_supermarket_sales___Sheet13[[#This Row],[Selling Price]]-Table_supermarket_sales___Sheet13[[#This Row],[Cost Price]]</f>
        <v>19.231999999999999</v>
      </c>
    </row>
    <row r="821" spans="1:6" x14ac:dyDescent="0.35">
      <c r="A821" s="3" t="s">
        <v>5</v>
      </c>
      <c r="B821" s="27">
        <v>47.16</v>
      </c>
      <c r="C821" s="1">
        <v>5</v>
      </c>
      <c r="D821" s="31">
        <f>Table_supermarket_sales___Sheet1[[#This Row],[Cost Price]]+Table57[[#This Row],[Markup Cost]]</f>
        <v>58.949999999999996</v>
      </c>
      <c r="E821" s="1">
        <v>5</v>
      </c>
      <c r="F821" s="20">
        <f>Table_supermarket_sales___Sheet13[[#This Row],[Selling Price]]-Table_supermarket_sales___Sheet13[[#This Row],[Cost Price]]</f>
        <v>11.79</v>
      </c>
    </row>
    <row r="822" spans="1:6" x14ac:dyDescent="0.35">
      <c r="A822" s="3" t="s">
        <v>2</v>
      </c>
      <c r="B822" s="27">
        <v>52.89</v>
      </c>
      <c r="C822" s="1">
        <v>4</v>
      </c>
      <c r="D822" s="31">
        <f>Table_supermarket_sales___Sheet1[[#This Row],[Cost Price]]+Table57[[#This Row],[Markup Cost]]</f>
        <v>63.468000000000004</v>
      </c>
      <c r="E822" s="4">
        <v>4</v>
      </c>
      <c r="F822" s="20">
        <f>Table_supermarket_sales___Sheet13[[#This Row],[Selling Price]]-Table_supermarket_sales___Sheet13[[#This Row],[Cost Price]]</f>
        <v>10.578000000000003</v>
      </c>
    </row>
    <row r="823" spans="1:6" x14ac:dyDescent="0.35">
      <c r="A823" s="3" t="s">
        <v>3</v>
      </c>
      <c r="B823" s="27">
        <v>47.68</v>
      </c>
      <c r="C823" s="1">
        <v>2</v>
      </c>
      <c r="D823" s="31">
        <f>Table_supermarket_sales___Sheet1[[#This Row],[Cost Price]]+Table57[[#This Row],[Markup Cost]]</f>
        <v>52.448</v>
      </c>
      <c r="E823" s="1">
        <v>2</v>
      </c>
      <c r="F823" s="20">
        <f>Table_supermarket_sales___Sheet13[[#This Row],[Selling Price]]-Table_supermarket_sales___Sheet13[[#This Row],[Cost Price]]</f>
        <v>4.7680000000000007</v>
      </c>
    </row>
    <row r="824" spans="1:6" x14ac:dyDescent="0.35">
      <c r="A824" s="3" t="s">
        <v>4</v>
      </c>
      <c r="B824" s="27">
        <v>10.17</v>
      </c>
      <c r="C824" s="1">
        <v>1</v>
      </c>
      <c r="D824" s="31">
        <f>Table_supermarket_sales___Sheet1[[#This Row],[Cost Price]]+Table57[[#This Row],[Markup Cost]]</f>
        <v>10.6785</v>
      </c>
      <c r="E824" s="4">
        <v>1</v>
      </c>
      <c r="F824" s="20">
        <f>Table_supermarket_sales___Sheet13[[#This Row],[Selling Price]]-Table_supermarket_sales___Sheet13[[#This Row],[Cost Price]]</f>
        <v>0.50849999999999973</v>
      </c>
    </row>
    <row r="825" spans="1:6" x14ac:dyDescent="0.35">
      <c r="A825" s="3" t="s">
        <v>1</v>
      </c>
      <c r="B825" s="27">
        <v>68.709999999999994</v>
      </c>
      <c r="C825" s="1">
        <v>3</v>
      </c>
      <c r="D825" s="31">
        <f>Table_supermarket_sales___Sheet1[[#This Row],[Cost Price]]+Table57[[#This Row],[Markup Cost]]</f>
        <v>79.016499999999994</v>
      </c>
      <c r="E825" s="1">
        <v>3</v>
      </c>
      <c r="F825" s="20">
        <f>Table_supermarket_sales___Sheet13[[#This Row],[Selling Price]]-Table_supermarket_sales___Sheet13[[#This Row],[Cost Price]]</f>
        <v>10.3065</v>
      </c>
    </row>
    <row r="826" spans="1:6" x14ac:dyDescent="0.35">
      <c r="A826" s="3" t="s">
        <v>4</v>
      </c>
      <c r="B826" s="27">
        <v>60.08</v>
      </c>
      <c r="C826" s="1">
        <v>7</v>
      </c>
      <c r="D826" s="31">
        <f>Table_supermarket_sales___Sheet1[[#This Row],[Cost Price]]+Table57[[#This Row],[Markup Cost]]</f>
        <v>81.108000000000004</v>
      </c>
      <c r="E826" s="4">
        <v>7</v>
      </c>
      <c r="F826" s="20">
        <f>Table_supermarket_sales___Sheet13[[#This Row],[Selling Price]]-Table_supermarket_sales___Sheet13[[#This Row],[Cost Price]]</f>
        <v>21.028000000000006</v>
      </c>
    </row>
    <row r="827" spans="1:6" x14ac:dyDescent="0.35">
      <c r="A827" s="3" t="s">
        <v>4</v>
      </c>
      <c r="B827" s="27">
        <v>22.01</v>
      </c>
      <c r="C827" s="1">
        <v>4</v>
      </c>
      <c r="D827" s="31">
        <f>Table_supermarket_sales___Sheet1[[#This Row],[Cost Price]]+Table57[[#This Row],[Markup Cost]]</f>
        <v>26.412000000000003</v>
      </c>
      <c r="E827" s="1">
        <v>4</v>
      </c>
      <c r="F827" s="20">
        <f>Table_supermarket_sales___Sheet13[[#This Row],[Selling Price]]-Table_supermarket_sales___Sheet13[[#This Row],[Cost Price]]</f>
        <v>4.402000000000001</v>
      </c>
    </row>
    <row r="828" spans="1:6" x14ac:dyDescent="0.35">
      <c r="A828" s="3" t="s">
        <v>1</v>
      </c>
      <c r="B828" s="27">
        <v>72.11</v>
      </c>
      <c r="C828" s="1">
        <v>9</v>
      </c>
      <c r="D828" s="31">
        <f>Table_supermarket_sales___Sheet1[[#This Row],[Cost Price]]+Table57[[#This Row],[Markup Cost]]</f>
        <v>104.5595</v>
      </c>
      <c r="E828" s="4">
        <v>9</v>
      </c>
      <c r="F828" s="20">
        <f>Table_supermarket_sales___Sheet13[[#This Row],[Selling Price]]-Table_supermarket_sales___Sheet13[[#This Row],[Cost Price]]</f>
        <v>32.4495</v>
      </c>
    </row>
    <row r="829" spans="1:6" x14ac:dyDescent="0.35">
      <c r="A829" s="3" t="s">
        <v>6</v>
      </c>
      <c r="B829" s="27">
        <v>41.28</v>
      </c>
      <c r="C829" s="1">
        <v>3</v>
      </c>
      <c r="D829" s="31">
        <f>Table_supermarket_sales___Sheet1[[#This Row],[Cost Price]]+Table57[[#This Row],[Markup Cost]]</f>
        <v>47.472000000000001</v>
      </c>
      <c r="E829" s="1">
        <v>3</v>
      </c>
      <c r="F829" s="20">
        <f>Table_supermarket_sales___Sheet13[[#This Row],[Selling Price]]-Table_supermarket_sales___Sheet13[[#This Row],[Cost Price]]</f>
        <v>6.1920000000000002</v>
      </c>
    </row>
    <row r="830" spans="1:6" x14ac:dyDescent="0.35">
      <c r="A830" s="3" t="s">
        <v>2</v>
      </c>
      <c r="B830" s="27">
        <v>64.95</v>
      </c>
      <c r="C830" s="1">
        <v>10</v>
      </c>
      <c r="D830" s="31">
        <f>Table_supermarket_sales___Sheet1[[#This Row],[Cost Price]]+Table57[[#This Row],[Markup Cost]]</f>
        <v>97.425000000000011</v>
      </c>
      <c r="E830" s="4">
        <v>10</v>
      </c>
      <c r="F830" s="20">
        <f>Table_supermarket_sales___Sheet13[[#This Row],[Selling Price]]-Table_supermarket_sales___Sheet13[[#This Row],[Cost Price]]</f>
        <v>32.475000000000009</v>
      </c>
    </row>
    <row r="831" spans="1:6" x14ac:dyDescent="0.35">
      <c r="A831" s="3" t="s">
        <v>2</v>
      </c>
      <c r="B831" s="27">
        <v>74.22</v>
      </c>
      <c r="C831" s="1">
        <v>10</v>
      </c>
      <c r="D831" s="31">
        <f>Table_supermarket_sales___Sheet1[[#This Row],[Cost Price]]+Table57[[#This Row],[Markup Cost]]</f>
        <v>111.33</v>
      </c>
      <c r="E831" s="1">
        <v>10</v>
      </c>
      <c r="F831" s="20">
        <f>Table_supermarket_sales___Sheet13[[#This Row],[Selling Price]]-Table_supermarket_sales___Sheet13[[#This Row],[Cost Price]]</f>
        <v>37.11</v>
      </c>
    </row>
    <row r="832" spans="1:6" x14ac:dyDescent="0.35">
      <c r="A832" s="3" t="s">
        <v>2</v>
      </c>
      <c r="B832" s="27">
        <v>10.56</v>
      </c>
      <c r="C832" s="1">
        <v>8</v>
      </c>
      <c r="D832" s="31">
        <f>Table_supermarket_sales___Sheet1[[#This Row],[Cost Price]]+Table57[[#This Row],[Markup Cost]]</f>
        <v>14.784000000000001</v>
      </c>
      <c r="E832" s="4">
        <v>8</v>
      </c>
      <c r="F832" s="20">
        <f>Table_supermarket_sales___Sheet13[[#This Row],[Selling Price]]-Table_supermarket_sales___Sheet13[[#This Row],[Cost Price]]</f>
        <v>4.2240000000000002</v>
      </c>
    </row>
    <row r="833" spans="1:6" x14ac:dyDescent="0.35">
      <c r="A833" s="3" t="s">
        <v>1</v>
      </c>
      <c r="B833" s="27">
        <v>62.57</v>
      </c>
      <c r="C833" s="1">
        <v>4</v>
      </c>
      <c r="D833" s="31">
        <f>Table_supermarket_sales___Sheet1[[#This Row],[Cost Price]]+Table57[[#This Row],[Markup Cost]]</f>
        <v>75.084000000000003</v>
      </c>
      <c r="E833" s="1">
        <v>4</v>
      </c>
      <c r="F833" s="20">
        <f>Table_supermarket_sales___Sheet13[[#This Row],[Selling Price]]-Table_supermarket_sales___Sheet13[[#This Row],[Cost Price]]</f>
        <v>12.514000000000003</v>
      </c>
    </row>
    <row r="834" spans="1:6" x14ac:dyDescent="0.35">
      <c r="A834" s="3" t="s">
        <v>4</v>
      </c>
      <c r="B834" s="27">
        <v>11.85</v>
      </c>
      <c r="C834" s="1">
        <v>8</v>
      </c>
      <c r="D834" s="31">
        <f>Table_supermarket_sales___Sheet1[[#This Row],[Cost Price]]+Table57[[#This Row],[Markup Cost]]</f>
        <v>16.59</v>
      </c>
      <c r="E834" s="4">
        <v>8</v>
      </c>
      <c r="F834" s="20">
        <f>Table_supermarket_sales___Sheet13[[#This Row],[Selling Price]]-Table_supermarket_sales___Sheet13[[#This Row],[Cost Price]]</f>
        <v>4.74</v>
      </c>
    </row>
    <row r="835" spans="1:6" x14ac:dyDescent="0.35">
      <c r="A835" s="3" t="s">
        <v>1</v>
      </c>
      <c r="B835" s="27">
        <v>91.3</v>
      </c>
      <c r="C835" s="1">
        <v>1</v>
      </c>
      <c r="D835" s="31">
        <f>Table_supermarket_sales___Sheet1[[#This Row],[Cost Price]]+Table57[[#This Row],[Markup Cost]]</f>
        <v>95.864999999999995</v>
      </c>
      <c r="E835" s="1">
        <v>1</v>
      </c>
      <c r="F835" s="20">
        <f>Table_supermarket_sales___Sheet13[[#This Row],[Selling Price]]-Table_supermarket_sales___Sheet13[[#This Row],[Cost Price]]</f>
        <v>4.5649999999999977</v>
      </c>
    </row>
    <row r="836" spans="1:6" x14ac:dyDescent="0.35">
      <c r="A836" s="3" t="s">
        <v>3</v>
      </c>
      <c r="B836" s="27">
        <v>40.729999999999997</v>
      </c>
      <c r="C836" s="1">
        <v>7</v>
      </c>
      <c r="D836" s="31">
        <f>Table_supermarket_sales___Sheet1[[#This Row],[Cost Price]]+Table57[[#This Row],[Markup Cost]]</f>
        <v>54.985499999999995</v>
      </c>
      <c r="E836" s="4">
        <v>7</v>
      </c>
      <c r="F836" s="20">
        <f>Table_supermarket_sales___Sheet13[[#This Row],[Selling Price]]-Table_supermarket_sales___Sheet13[[#This Row],[Cost Price]]</f>
        <v>14.255499999999998</v>
      </c>
    </row>
    <row r="837" spans="1:6" x14ac:dyDescent="0.35">
      <c r="A837" s="3" t="s">
        <v>6</v>
      </c>
      <c r="B837" s="27">
        <v>52.38</v>
      </c>
      <c r="C837" s="1">
        <v>1</v>
      </c>
      <c r="D837" s="31">
        <f>Table_supermarket_sales___Sheet1[[#This Row],[Cost Price]]+Table57[[#This Row],[Markup Cost]]</f>
        <v>54.999000000000002</v>
      </c>
      <c r="E837" s="1">
        <v>1</v>
      </c>
      <c r="F837" s="20">
        <f>Table_supermarket_sales___Sheet13[[#This Row],[Selling Price]]-Table_supermarket_sales___Sheet13[[#This Row],[Cost Price]]</f>
        <v>2.6189999999999998</v>
      </c>
    </row>
    <row r="838" spans="1:6" x14ac:dyDescent="0.35">
      <c r="A838" s="3" t="s">
        <v>6</v>
      </c>
      <c r="B838" s="27">
        <v>38.54</v>
      </c>
      <c r="C838" s="1">
        <v>5</v>
      </c>
      <c r="D838" s="31">
        <f>Table_supermarket_sales___Sheet1[[#This Row],[Cost Price]]+Table57[[#This Row],[Markup Cost]]</f>
        <v>48.174999999999997</v>
      </c>
      <c r="E838" s="4">
        <v>5</v>
      </c>
      <c r="F838" s="20">
        <f>Table_supermarket_sales___Sheet13[[#This Row],[Selling Price]]-Table_supermarket_sales___Sheet13[[#This Row],[Cost Price]]</f>
        <v>9.634999999999998</v>
      </c>
    </row>
    <row r="839" spans="1:6" x14ac:dyDescent="0.35">
      <c r="A839" s="3" t="s">
        <v>4</v>
      </c>
      <c r="B839" s="27">
        <v>44.63</v>
      </c>
      <c r="C839" s="1">
        <v>6</v>
      </c>
      <c r="D839" s="31">
        <f>Table_supermarket_sales___Sheet1[[#This Row],[Cost Price]]+Table57[[#This Row],[Markup Cost]]</f>
        <v>58.019000000000005</v>
      </c>
      <c r="E839" s="1">
        <v>6</v>
      </c>
      <c r="F839" s="20">
        <f>Table_supermarket_sales___Sheet13[[#This Row],[Selling Price]]-Table_supermarket_sales___Sheet13[[#This Row],[Cost Price]]</f>
        <v>13.389000000000003</v>
      </c>
    </row>
    <row r="840" spans="1:6" x14ac:dyDescent="0.35">
      <c r="A840" s="3" t="s">
        <v>2</v>
      </c>
      <c r="B840" s="27">
        <v>55.87</v>
      </c>
      <c r="C840" s="1">
        <v>10</v>
      </c>
      <c r="D840" s="31">
        <f>Table_supermarket_sales___Sheet1[[#This Row],[Cost Price]]+Table57[[#This Row],[Markup Cost]]</f>
        <v>83.804999999999993</v>
      </c>
      <c r="E840" s="4">
        <v>10</v>
      </c>
      <c r="F840" s="20">
        <f>Table_supermarket_sales___Sheet13[[#This Row],[Selling Price]]-Table_supermarket_sales___Sheet13[[#This Row],[Cost Price]]</f>
        <v>27.934999999999995</v>
      </c>
    </row>
    <row r="841" spans="1:6" x14ac:dyDescent="0.35">
      <c r="A841" s="3" t="s">
        <v>4</v>
      </c>
      <c r="B841" s="27">
        <v>29.22</v>
      </c>
      <c r="C841" s="1">
        <v>6</v>
      </c>
      <c r="D841" s="31">
        <f>Table_supermarket_sales___Sheet1[[#This Row],[Cost Price]]+Table57[[#This Row],[Markup Cost]]</f>
        <v>37.985999999999997</v>
      </c>
      <c r="E841" s="1">
        <v>6</v>
      </c>
      <c r="F841" s="20">
        <f>Table_supermarket_sales___Sheet13[[#This Row],[Selling Price]]-Table_supermarket_sales___Sheet13[[#This Row],[Cost Price]]</f>
        <v>8.7659999999999982</v>
      </c>
    </row>
    <row r="842" spans="1:6" x14ac:dyDescent="0.35">
      <c r="A842" s="3" t="s">
        <v>6</v>
      </c>
      <c r="B842" s="27">
        <v>51.94</v>
      </c>
      <c r="C842" s="1">
        <v>3</v>
      </c>
      <c r="D842" s="31">
        <f>Table_supermarket_sales___Sheet1[[#This Row],[Cost Price]]+Table57[[#This Row],[Markup Cost]]</f>
        <v>59.730999999999995</v>
      </c>
      <c r="E842" s="4">
        <v>3</v>
      </c>
      <c r="F842" s="20">
        <f>Table_supermarket_sales___Sheet13[[#This Row],[Selling Price]]-Table_supermarket_sales___Sheet13[[#This Row],[Cost Price]]</f>
        <v>7.7909999999999968</v>
      </c>
    </row>
    <row r="843" spans="1:6" x14ac:dyDescent="0.35">
      <c r="A843" s="3" t="s">
        <v>2</v>
      </c>
      <c r="B843" s="27">
        <v>60.3</v>
      </c>
      <c r="C843" s="1">
        <v>1</v>
      </c>
      <c r="D843" s="31">
        <f>Table_supermarket_sales___Sheet1[[#This Row],[Cost Price]]+Table57[[#This Row],[Markup Cost]]</f>
        <v>63.314999999999998</v>
      </c>
      <c r="E843" s="1">
        <v>1</v>
      </c>
      <c r="F843" s="20">
        <f>Table_supermarket_sales___Sheet13[[#This Row],[Selling Price]]-Table_supermarket_sales___Sheet13[[#This Row],[Cost Price]]</f>
        <v>3.0150000000000006</v>
      </c>
    </row>
    <row r="844" spans="1:6" x14ac:dyDescent="0.35">
      <c r="A844" s="3" t="s">
        <v>4</v>
      </c>
      <c r="B844" s="27">
        <v>39.47</v>
      </c>
      <c r="C844" s="1">
        <v>2</v>
      </c>
      <c r="D844" s="31">
        <f>Table_supermarket_sales___Sheet1[[#This Row],[Cost Price]]+Table57[[#This Row],[Markup Cost]]</f>
        <v>43.417000000000002</v>
      </c>
      <c r="E844" s="4">
        <v>2</v>
      </c>
      <c r="F844" s="20">
        <f>Table_supermarket_sales___Sheet13[[#This Row],[Selling Price]]-Table_supermarket_sales___Sheet13[[#This Row],[Cost Price]]</f>
        <v>3.9470000000000027</v>
      </c>
    </row>
    <row r="845" spans="1:6" x14ac:dyDescent="0.35">
      <c r="A845" s="3" t="s">
        <v>5</v>
      </c>
      <c r="B845" s="27">
        <v>14.87</v>
      </c>
      <c r="C845" s="1">
        <v>2</v>
      </c>
      <c r="D845" s="31">
        <f>Table_supermarket_sales___Sheet1[[#This Row],[Cost Price]]+Table57[[#This Row],[Markup Cost]]</f>
        <v>16.356999999999999</v>
      </c>
      <c r="E845" s="1">
        <v>2</v>
      </c>
      <c r="F845" s="20">
        <f>Table_supermarket_sales___Sheet13[[#This Row],[Selling Price]]-Table_supermarket_sales___Sheet13[[#This Row],[Cost Price]]</f>
        <v>1.4870000000000001</v>
      </c>
    </row>
    <row r="846" spans="1:6" x14ac:dyDescent="0.35">
      <c r="A846" s="3" t="s">
        <v>6</v>
      </c>
      <c r="B846" s="27">
        <v>21.32</v>
      </c>
      <c r="C846" s="1">
        <v>1</v>
      </c>
      <c r="D846" s="31">
        <f>Table_supermarket_sales___Sheet1[[#This Row],[Cost Price]]+Table57[[#This Row],[Markup Cost]]</f>
        <v>22.385999999999999</v>
      </c>
      <c r="E846" s="4">
        <v>1</v>
      </c>
      <c r="F846" s="20">
        <f>Table_supermarket_sales___Sheet13[[#This Row],[Selling Price]]-Table_supermarket_sales___Sheet13[[#This Row],[Cost Price]]</f>
        <v>1.0659999999999989</v>
      </c>
    </row>
    <row r="847" spans="1:6" x14ac:dyDescent="0.35">
      <c r="A847" s="3" t="s">
        <v>2</v>
      </c>
      <c r="B847" s="27">
        <v>93.78</v>
      </c>
      <c r="C847" s="1">
        <v>3</v>
      </c>
      <c r="D847" s="31">
        <f>Table_supermarket_sales___Sheet1[[#This Row],[Cost Price]]+Table57[[#This Row],[Markup Cost]]</f>
        <v>107.84700000000001</v>
      </c>
      <c r="E847" s="1">
        <v>3</v>
      </c>
      <c r="F847" s="20">
        <f>Table_supermarket_sales___Sheet13[[#This Row],[Selling Price]]-Table_supermarket_sales___Sheet13[[#This Row],[Cost Price]]</f>
        <v>14.067000000000007</v>
      </c>
    </row>
    <row r="848" spans="1:6" x14ac:dyDescent="0.35">
      <c r="A848" s="3" t="s">
        <v>2</v>
      </c>
      <c r="B848" s="27">
        <v>73.260000000000005</v>
      </c>
      <c r="C848" s="1">
        <v>1</v>
      </c>
      <c r="D848" s="31">
        <f>Table_supermarket_sales___Sheet1[[#This Row],[Cost Price]]+Table57[[#This Row],[Markup Cost]]</f>
        <v>76.923000000000002</v>
      </c>
      <c r="E848" s="4">
        <v>1</v>
      </c>
      <c r="F848" s="20">
        <f>Table_supermarket_sales___Sheet13[[#This Row],[Selling Price]]-Table_supermarket_sales___Sheet13[[#This Row],[Cost Price]]</f>
        <v>3.6629999999999967</v>
      </c>
    </row>
    <row r="849" spans="1:6" x14ac:dyDescent="0.35">
      <c r="A849" s="3" t="s">
        <v>4</v>
      </c>
      <c r="B849" s="27">
        <v>22.38</v>
      </c>
      <c r="C849" s="1">
        <v>1</v>
      </c>
      <c r="D849" s="31">
        <f>Table_supermarket_sales___Sheet1[[#This Row],[Cost Price]]+Table57[[#This Row],[Markup Cost]]</f>
        <v>23.498999999999999</v>
      </c>
      <c r="E849" s="1">
        <v>1</v>
      </c>
      <c r="F849" s="20">
        <f>Table_supermarket_sales___Sheet13[[#This Row],[Selling Price]]-Table_supermarket_sales___Sheet13[[#This Row],[Cost Price]]</f>
        <v>1.1189999999999998</v>
      </c>
    </row>
    <row r="850" spans="1:6" x14ac:dyDescent="0.35">
      <c r="A850" s="3" t="s">
        <v>5</v>
      </c>
      <c r="B850" s="27">
        <v>72.88</v>
      </c>
      <c r="C850" s="1">
        <v>9</v>
      </c>
      <c r="D850" s="31">
        <f>Table_supermarket_sales___Sheet1[[#This Row],[Cost Price]]+Table57[[#This Row],[Markup Cost]]</f>
        <v>105.67599999999999</v>
      </c>
      <c r="E850" s="4">
        <v>9</v>
      </c>
      <c r="F850" s="20">
        <f>Table_supermarket_sales___Sheet13[[#This Row],[Selling Price]]-Table_supermarket_sales___Sheet13[[#This Row],[Cost Price]]</f>
        <v>32.795999999999992</v>
      </c>
    </row>
    <row r="851" spans="1:6" x14ac:dyDescent="0.35">
      <c r="A851" s="3" t="s">
        <v>6</v>
      </c>
      <c r="B851" s="27">
        <v>99.1</v>
      </c>
      <c r="C851" s="1">
        <v>6</v>
      </c>
      <c r="D851" s="31">
        <f>Table_supermarket_sales___Sheet1[[#This Row],[Cost Price]]+Table57[[#This Row],[Markup Cost]]</f>
        <v>128.82999999999998</v>
      </c>
      <c r="E851" s="1">
        <v>6</v>
      </c>
      <c r="F851" s="20">
        <f>Table_supermarket_sales___Sheet13[[#This Row],[Selling Price]]-Table_supermarket_sales___Sheet13[[#This Row],[Cost Price]]</f>
        <v>29.72999999999999</v>
      </c>
    </row>
    <row r="852" spans="1:6" x14ac:dyDescent="0.35">
      <c r="A852" s="3" t="s">
        <v>6</v>
      </c>
      <c r="B852" s="27">
        <v>74.099999999999994</v>
      </c>
      <c r="C852" s="1">
        <v>1</v>
      </c>
      <c r="D852" s="31">
        <f>Table_supermarket_sales___Sheet1[[#This Row],[Cost Price]]+Table57[[#This Row],[Markup Cost]]</f>
        <v>77.804999999999993</v>
      </c>
      <c r="E852" s="4">
        <v>1</v>
      </c>
      <c r="F852" s="20">
        <f>Table_supermarket_sales___Sheet13[[#This Row],[Selling Price]]-Table_supermarket_sales___Sheet13[[#This Row],[Cost Price]]</f>
        <v>3.7049999999999983</v>
      </c>
    </row>
    <row r="853" spans="1:6" x14ac:dyDescent="0.35">
      <c r="A853" s="3" t="s">
        <v>6</v>
      </c>
      <c r="B853" s="27">
        <v>98.48</v>
      </c>
      <c r="C853" s="1">
        <v>2</v>
      </c>
      <c r="D853" s="31">
        <f>Table_supermarket_sales___Sheet1[[#This Row],[Cost Price]]+Table57[[#This Row],[Markup Cost]]</f>
        <v>108.328</v>
      </c>
      <c r="E853" s="1">
        <v>2</v>
      </c>
      <c r="F853" s="20">
        <f>Table_supermarket_sales___Sheet13[[#This Row],[Selling Price]]-Table_supermarket_sales___Sheet13[[#This Row],[Cost Price]]</f>
        <v>9.847999999999999</v>
      </c>
    </row>
    <row r="854" spans="1:6" x14ac:dyDescent="0.35">
      <c r="A854" s="3" t="s">
        <v>1</v>
      </c>
      <c r="B854" s="27">
        <v>53.19</v>
      </c>
      <c r="C854" s="1">
        <v>7</v>
      </c>
      <c r="D854" s="31">
        <f>Table_supermarket_sales___Sheet1[[#This Row],[Cost Price]]+Table57[[#This Row],[Markup Cost]]</f>
        <v>71.8065</v>
      </c>
      <c r="E854" s="4">
        <v>7</v>
      </c>
      <c r="F854" s="20">
        <f>Table_supermarket_sales___Sheet13[[#This Row],[Selling Price]]-Table_supermarket_sales___Sheet13[[#This Row],[Cost Price]]</f>
        <v>18.616500000000002</v>
      </c>
    </row>
    <row r="855" spans="1:6" x14ac:dyDescent="0.35">
      <c r="A855" s="3" t="s">
        <v>2</v>
      </c>
      <c r="B855" s="27">
        <v>52.79</v>
      </c>
      <c r="C855" s="1">
        <v>10</v>
      </c>
      <c r="D855" s="31">
        <f>Table_supermarket_sales___Sheet1[[#This Row],[Cost Price]]+Table57[[#This Row],[Markup Cost]]</f>
        <v>79.185000000000002</v>
      </c>
      <c r="E855" s="1">
        <v>10</v>
      </c>
      <c r="F855" s="20">
        <f>Table_supermarket_sales___Sheet13[[#This Row],[Selling Price]]-Table_supermarket_sales___Sheet13[[#This Row],[Cost Price]]</f>
        <v>26.395000000000003</v>
      </c>
    </row>
    <row r="856" spans="1:6" x14ac:dyDescent="0.35">
      <c r="A856" s="3" t="s">
        <v>1</v>
      </c>
      <c r="B856" s="27">
        <v>95.95</v>
      </c>
      <c r="C856" s="1">
        <v>5</v>
      </c>
      <c r="D856" s="31">
        <f>Table_supermarket_sales___Sheet1[[#This Row],[Cost Price]]+Table57[[#This Row],[Markup Cost]]</f>
        <v>119.9375</v>
      </c>
      <c r="E856" s="4">
        <v>5</v>
      </c>
      <c r="F856" s="20">
        <f>Table_supermarket_sales___Sheet13[[#This Row],[Selling Price]]-Table_supermarket_sales___Sheet13[[#This Row],[Cost Price]]</f>
        <v>23.987499999999997</v>
      </c>
    </row>
    <row r="857" spans="1:6" x14ac:dyDescent="0.35">
      <c r="A857" s="3" t="s">
        <v>6</v>
      </c>
      <c r="B857" s="27">
        <v>36.51</v>
      </c>
      <c r="C857" s="1">
        <v>9</v>
      </c>
      <c r="D857" s="31">
        <f>Table_supermarket_sales___Sheet1[[#This Row],[Cost Price]]+Table57[[#This Row],[Markup Cost]]</f>
        <v>52.939499999999995</v>
      </c>
      <c r="E857" s="1">
        <v>9</v>
      </c>
      <c r="F857" s="20">
        <f>Table_supermarket_sales___Sheet13[[#This Row],[Selling Price]]-Table_supermarket_sales___Sheet13[[#This Row],[Cost Price]]</f>
        <v>16.429499999999997</v>
      </c>
    </row>
    <row r="858" spans="1:6" x14ac:dyDescent="0.35">
      <c r="A858" s="3" t="s">
        <v>5</v>
      </c>
      <c r="B858" s="27">
        <v>21.12</v>
      </c>
      <c r="C858" s="1">
        <v>8</v>
      </c>
      <c r="D858" s="31">
        <f>Table_supermarket_sales___Sheet1[[#This Row],[Cost Price]]+Table57[[#This Row],[Markup Cost]]</f>
        <v>29.568000000000001</v>
      </c>
      <c r="E858" s="4">
        <v>8</v>
      </c>
      <c r="F858" s="20">
        <f>Table_supermarket_sales___Sheet13[[#This Row],[Selling Price]]-Table_supermarket_sales___Sheet13[[#This Row],[Cost Price]]</f>
        <v>8.4480000000000004</v>
      </c>
    </row>
    <row r="859" spans="1:6" x14ac:dyDescent="0.35">
      <c r="A859" s="3" t="s">
        <v>3</v>
      </c>
      <c r="B859" s="27">
        <v>28.31</v>
      </c>
      <c r="C859" s="1">
        <v>4</v>
      </c>
      <c r="D859" s="31">
        <f>Table_supermarket_sales___Sheet1[[#This Row],[Cost Price]]+Table57[[#This Row],[Markup Cost]]</f>
        <v>33.972000000000001</v>
      </c>
      <c r="E859" s="1">
        <v>4</v>
      </c>
      <c r="F859" s="20">
        <f>Table_supermarket_sales___Sheet13[[#This Row],[Selling Price]]-Table_supermarket_sales___Sheet13[[#This Row],[Cost Price]]</f>
        <v>5.6620000000000026</v>
      </c>
    </row>
    <row r="860" spans="1:6" x14ac:dyDescent="0.35">
      <c r="A860" s="3" t="s">
        <v>1</v>
      </c>
      <c r="B860" s="27">
        <v>57.59</v>
      </c>
      <c r="C860" s="1">
        <v>6</v>
      </c>
      <c r="D860" s="31">
        <f>Table_supermarket_sales___Sheet1[[#This Row],[Cost Price]]+Table57[[#This Row],[Markup Cost]]</f>
        <v>74.867000000000004</v>
      </c>
      <c r="E860" s="4">
        <v>6</v>
      </c>
      <c r="F860" s="20">
        <f>Table_supermarket_sales___Sheet13[[#This Row],[Selling Price]]-Table_supermarket_sales___Sheet13[[#This Row],[Cost Price]]</f>
        <v>17.277000000000001</v>
      </c>
    </row>
    <row r="861" spans="1:6" x14ac:dyDescent="0.35">
      <c r="A861" s="3" t="s">
        <v>5</v>
      </c>
      <c r="B861" s="27">
        <v>47.63</v>
      </c>
      <c r="C861" s="1">
        <v>9</v>
      </c>
      <c r="D861" s="31">
        <f>Table_supermarket_sales___Sheet1[[#This Row],[Cost Price]]+Table57[[#This Row],[Markup Cost]]</f>
        <v>69.063500000000005</v>
      </c>
      <c r="E861" s="1">
        <v>9</v>
      </c>
      <c r="F861" s="20">
        <f>Table_supermarket_sales___Sheet13[[#This Row],[Selling Price]]-Table_supermarket_sales___Sheet13[[#This Row],[Cost Price]]</f>
        <v>21.433500000000002</v>
      </c>
    </row>
    <row r="862" spans="1:6" x14ac:dyDescent="0.35">
      <c r="A862" s="3" t="s">
        <v>3</v>
      </c>
      <c r="B862" s="27">
        <v>86.27</v>
      </c>
      <c r="C862" s="1">
        <v>1</v>
      </c>
      <c r="D862" s="31">
        <f>Table_supermarket_sales___Sheet1[[#This Row],[Cost Price]]+Table57[[#This Row],[Markup Cost]]</f>
        <v>90.583500000000001</v>
      </c>
      <c r="E862" s="4">
        <v>1</v>
      </c>
      <c r="F862" s="20">
        <f>Table_supermarket_sales___Sheet13[[#This Row],[Selling Price]]-Table_supermarket_sales___Sheet13[[#This Row],[Cost Price]]</f>
        <v>4.3135000000000048</v>
      </c>
    </row>
    <row r="863" spans="1:6" x14ac:dyDescent="0.35">
      <c r="A863" s="3" t="s">
        <v>4</v>
      </c>
      <c r="B863" s="27">
        <v>12.76</v>
      </c>
      <c r="C863" s="1">
        <v>2</v>
      </c>
      <c r="D863" s="31">
        <f>Table_supermarket_sales___Sheet1[[#This Row],[Cost Price]]+Table57[[#This Row],[Markup Cost]]</f>
        <v>14.036</v>
      </c>
      <c r="E863" s="1">
        <v>2</v>
      </c>
      <c r="F863" s="20">
        <f>Table_supermarket_sales___Sheet13[[#This Row],[Selling Price]]-Table_supermarket_sales___Sheet13[[#This Row],[Cost Price]]</f>
        <v>1.2759999999999998</v>
      </c>
    </row>
    <row r="864" spans="1:6" x14ac:dyDescent="0.35">
      <c r="A864" s="3" t="s">
        <v>3</v>
      </c>
      <c r="B864" s="27">
        <v>11.28</v>
      </c>
      <c r="C864" s="1">
        <v>9</v>
      </c>
      <c r="D864" s="31">
        <f>Table_supermarket_sales___Sheet1[[#This Row],[Cost Price]]+Table57[[#This Row],[Markup Cost]]</f>
        <v>16.355999999999998</v>
      </c>
      <c r="E864" s="4">
        <v>9</v>
      </c>
      <c r="F864" s="20">
        <f>Table_supermarket_sales___Sheet13[[#This Row],[Selling Price]]-Table_supermarket_sales___Sheet13[[#This Row],[Cost Price]]</f>
        <v>5.0759999999999987</v>
      </c>
    </row>
    <row r="865" spans="1:6" x14ac:dyDescent="0.35">
      <c r="A865" s="3" t="s">
        <v>3</v>
      </c>
      <c r="B865" s="27">
        <v>51.07</v>
      </c>
      <c r="C865" s="1">
        <v>7</v>
      </c>
      <c r="D865" s="31">
        <f>Table_supermarket_sales___Sheet1[[#This Row],[Cost Price]]+Table57[[#This Row],[Markup Cost]]</f>
        <v>68.944500000000005</v>
      </c>
      <c r="E865" s="1">
        <v>7</v>
      </c>
      <c r="F865" s="20">
        <f>Table_supermarket_sales___Sheet13[[#This Row],[Selling Price]]-Table_supermarket_sales___Sheet13[[#This Row],[Cost Price]]</f>
        <v>17.874500000000005</v>
      </c>
    </row>
    <row r="866" spans="1:6" x14ac:dyDescent="0.35">
      <c r="A866" s="3" t="s">
        <v>2</v>
      </c>
      <c r="B866" s="27">
        <v>79.59</v>
      </c>
      <c r="C866" s="1">
        <v>3</v>
      </c>
      <c r="D866" s="31">
        <f>Table_supermarket_sales___Sheet1[[#This Row],[Cost Price]]+Table57[[#This Row],[Markup Cost]]</f>
        <v>91.528500000000008</v>
      </c>
      <c r="E866" s="4">
        <v>3</v>
      </c>
      <c r="F866" s="20">
        <f>Table_supermarket_sales___Sheet13[[#This Row],[Selling Price]]-Table_supermarket_sales___Sheet13[[#This Row],[Cost Price]]</f>
        <v>11.938500000000005</v>
      </c>
    </row>
    <row r="867" spans="1:6" x14ac:dyDescent="0.35">
      <c r="A867" s="3" t="s">
        <v>1</v>
      </c>
      <c r="B867" s="27">
        <v>33.81</v>
      </c>
      <c r="C867" s="1">
        <v>3</v>
      </c>
      <c r="D867" s="31">
        <f>Table_supermarket_sales___Sheet1[[#This Row],[Cost Price]]+Table57[[#This Row],[Markup Cost]]</f>
        <v>38.881500000000003</v>
      </c>
      <c r="E867" s="1">
        <v>3</v>
      </c>
      <c r="F867" s="20">
        <f>Table_supermarket_sales___Sheet13[[#This Row],[Selling Price]]-Table_supermarket_sales___Sheet13[[#This Row],[Cost Price]]</f>
        <v>5.0715000000000003</v>
      </c>
    </row>
    <row r="868" spans="1:6" x14ac:dyDescent="0.35">
      <c r="A868" s="3" t="s">
        <v>4</v>
      </c>
      <c r="B868" s="27">
        <v>90.53</v>
      </c>
      <c r="C868" s="1">
        <v>8</v>
      </c>
      <c r="D868" s="31">
        <f>Table_supermarket_sales___Sheet1[[#This Row],[Cost Price]]+Table57[[#This Row],[Markup Cost]]</f>
        <v>126.742</v>
      </c>
      <c r="E868" s="4">
        <v>8</v>
      </c>
      <c r="F868" s="20">
        <f>Table_supermarket_sales___Sheet13[[#This Row],[Selling Price]]-Table_supermarket_sales___Sheet13[[#This Row],[Cost Price]]</f>
        <v>36.212000000000003</v>
      </c>
    </row>
    <row r="869" spans="1:6" x14ac:dyDescent="0.35">
      <c r="A869" s="3" t="s">
        <v>1</v>
      </c>
      <c r="B869" s="27">
        <v>62.82</v>
      </c>
      <c r="C869" s="1">
        <v>2</v>
      </c>
      <c r="D869" s="31">
        <f>Table_supermarket_sales___Sheet1[[#This Row],[Cost Price]]+Table57[[#This Row],[Markup Cost]]</f>
        <v>69.102000000000004</v>
      </c>
      <c r="E869" s="1">
        <v>2</v>
      </c>
      <c r="F869" s="20">
        <f>Table_supermarket_sales___Sheet13[[#This Row],[Selling Price]]-Table_supermarket_sales___Sheet13[[#This Row],[Cost Price]]</f>
        <v>6.2820000000000036</v>
      </c>
    </row>
    <row r="870" spans="1:6" x14ac:dyDescent="0.35">
      <c r="A870" s="3" t="s">
        <v>5</v>
      </c>
      <c r="B870" s="27">
        <v>24.31</v>
      </c>
      <c r="C870" s="1">
        <v>3</v>
      </c>
      <c r="D870" s="31">
        <f>Table_supermarket_sales___Sheet1[[#This Row],[Cost Price]]+Table57[[#This Row],[Markup Cost]]</f>
        <v>27.956499999999998</v>
      </c>
      <c r="E870" s="4">
        <v>3</v>
      </c>
      <c r="F870" s="20">
        <f>Table_supermarket_sales___Sheet13[[#This Row],[Selling Price]]-Table_supermarket_sales___Sheet13[[#This Row],[Cost Price]]</f>
        <v>3.6464999999999996</v>
      </c>
    </row>
    <row r="871" spans="1:6" x14ac:dyDescent="0.35">
      <c r="A871" s="3" t="s">
        <v>4</v>
      </c>
      <c r="B871" s="27">
        <v>64.59</v>
      </c>
      <c r="C871" s="1">
        <v>4</v>
      </c>
      <c r="D871" s="31">
        <f>Table_supermarket_sales___Sheet1[[#This Row],[Cost Price]]+Table57[[#This Row],[Markup Cost]]</f>
        <v>77.50800000000001</v>
      </c>
      <c r="E871" s="1">
        <v>4</v>
      </c>
      <c r="F871" s="20">
        <f>Table_supermarket_sales___Sheet13[[#This Row],[Selling Price]]-Table_supermarket_sales___Sheet13[[#This Row],[Cost Price]]</f>
        <v>12.918000000000006</v>
      </c>
    </row>
    <row r="872" spans="1:6" x14ac:dyDescent="0.35">
      <c r="A872" s="3" t="s">
        <v>5</v>
      </c>
      <c r="B872" s="27">
        <v>24.82</v>
      </c>
      <c r="C872" s="1">
        <v>7</v>
      </c>
      <c r="D872" s="31">
        <f>Table_supermarket_sales___Sheet1[[#This Row],[Cost Price]]+Table57[[#This Row],[Markup Cost]]</f>
        <v>33.506999999999998</v>
      </c>
      <c r="E872" s="4">
        <v>7</v>
      </c>
      <c r="F872" s="20">
        <f>Table_supermarket_sales___Sheet13[[#This Row],[Selling Price]]-Table_supermarket_sales___Sheet13[[#This Row],[Cost Price]]</f>
        <v>8.6869999999999976</v>
      </c>
    </row>
    <row r="873" spans="1:6" x14ac:dyDescent="0.35">
      <c r="A873" s="3" t="s">
        <v>6</v>
      </c>
      <c r="B873" s="27">
        <v>56.5</v>
      </c>
      <c r="C873" s="1">
        <v>1</v>
      </c>
      <c r="D873" s="31">
        <f>Table_supermarket_sales___Sheet1[[#This Row],[Cost Price]]+Table57[[#This Row],[Markup Cost]]</f>
        <v>59.325000000000003</v>
      </c>
      <c r="E873" s="1">
        <v>1</v>
      </c>
      <c r="F873" s="20">
        <f>Table_supermarket_sales___Sheet13[[#This Row],[Selling Price]]-Table_supermarket_sales___Sheet13[[#This Row],[Cost Price]]</f>
        <v>2.8250000000000028</v>
      </c>
    </row>
    <row r="874" spans="1:6" x14ac:dyDescent="0.35">
      <c r="A874" s="3" t="s">
        <v>2</v>
      </c>
      <c r="B874" s="27">
        <v>21.43</v>
      </c>
      <c r="C874" s="1">
        <v>10</v>
      </c>
      <c r="D874" s="31">
        <f>Table_supermarket_sales___Sheet1[[#This Row],[Cost Price]]+Table57[[#This Row],[Markup Cost]]</f>
        <v>32.144999999999996</v>
      </c>
      <c r="E874" s="4">
        <v>10</v>
      </c>
      <c r="F874" s="20">
        <f>Table_supermarket_sales___Sheet13[[#This Row],[Selling Price]]-Table_supermarket_sales___Sheet13[[#This Row],[Cost Price]]</f>
        <v>10.714999999999996</v>
      </c>
    </row>
    <row r="875" spans="1:6" x14ac:dyDescent="0.35">
      <c r="A875" s="3" t="s">
        <v>4</v>
      </c>
      <c r="B875" s="27">
        <v>89.06</v>
      </c>
      <c r="C875" s="1">
        <v>6</v>
      </c>
      <c r="D875" s="31">
        <f>Table_supermarket_sales___Sheet1[[#This Row],[Cost Price]]+Table57[[#This Row],[Markup Cost]]</f>
        <v>115.77800000000001</v>
      </c>
      <c r="E875" s="1">
        <v>6</v>
      </c>
      <c r="F875" s="20">
        <f>Table_supermarket_sales___Sheet13[[#This Row],[Selling Price]]-Table_supermarket_sales___Sheet13[[#This Row],[Cost Price]]</f>
        <v>26.718000000000004</v>
      </c>
    </row>
    <row r="876" spans="1:6" x14ac:dyDescent="0.35">
      <c r="A876" s="3" t="s">
        <v>3</v>
      </c>
      <c r="B876" s="27">
        <v>23.29</v>
      </c>
      <c r="C876" s="1">
        <v>4</v>
      </c>
      <c r="D876" s="31">
        <f>Table_supermarket_sales___Sheet1[[#This Row],[Cost Price]]+Table57[[#This Row],[Markup Cost]]</f>
        <v>27.948</v>
      </c>
      <c r="E876" s="4">
        <v>4</v>
      </c>
      <c r="F876" s="20">
        <f>Table_supermarket_sales___Sheet13[[#This Row],[Selling Price]]-Table_supermarket_sales___Sheet13[[#This Row],[Cost Price]]</f>
        <v>4.6580000000000013</v>
      </c>
    </row>
    <row r="877" spans="1:6" x14ac:dyDescent="0.35">
      <c r="A877" s="3" t="s">
        <v>3</v>
      </c>
      <c r="B877" s="27">
        <v>65.260000000000005</v>
      </c>
      <c r="C877" s="1">
        <v>8</v>
      </c>
      <c r="D877" s="31">
        <f>Table_supermarket_sales___Sheet1[[#This Row],[Cost Price]]+Table57[[#This Row],[Markup Cost]]</f>
        <v>91.364000000000004</v>
      </c>
      <c r="E877" s="1">
        <v>8</v>
      </c>
      <c r="F877" s="20">
        <f>Table_supermarket_sales___Sheet13[[#This Row],[Selling Price]]-Table_supermarket_sales___Sheet13[[#This Row],[Cost Price]]</f>
        <v>26.103999999999999</v>
      </c>
    </row>
    <row r="878" spans="1:6" x14ac:dyDescent="0.35">
      <c r="A878" s="3" t="s">
        <v>6</v>
      </c>
      <c r="B878" s="27">
        <v>52.35</v>
      </c>
      <c r="C878" s="1">
        <v>1</v>
      </c>
      <c r="D878" s="31">
        <f>Table_supermarket_sales___Sheet1[[#This Row],[Cost Price]]+Table57[[#This Row],[Markup Cost]]</f>
        <v>54.967500000000001</v>
      </c>
      <c r="E878" s="4">
        <v>1</v>
      </c>
      <c r="F878" s="20">
        <f>Table_supermarket_sales___Sheet13[[#This Row],[Selling Price]]-Table_supermarket_sales___Sheet13[[#This Row],[Cost Price]]</f>
        <v>2.6174999999999997</v>
      </c>
    </row>
    <row r="879" spans="1:6" x14ac:dyDescent="0.35">
      <c r="A879" s="3" t="s">
        <v>2</v>
      </c>
      <c r="B879" s="27">
        <v>39.75</v>
      </c>
      <c r="C879" s="1">
        <v>1</v>
      </c>
      <c r="D879" s="31">
        <f>Table_supermarket_sales___Sheet1[[#This Row],[Cost Price]]+Table57[[#This Row],[Markup Cost]]</f>
        <v>41.737499999999997</v>
      </c>
      <c r="E879" s="1">
        <v>1</v>
      </c>
      <c r="F879" s="20">
        <f>Table_supermarket_sales___Sheet13[[#This Row],[Selling Price]]-Table_supermarket_sales___Sheet13[[#This Row],[Cost Price]]</f>
        <v>1.9874999999999972</v>
      </c>
    </row>
    <row r="880" spans="1:6" x14ac:dyDescent="0.35">
      <c r="A880" s="3" t="s">
        <v>2</v>
      </c>
      <c r="B880" s="27">
        <v>90.02</v>
      </c>
      <c r="C880" s="1">
        <v>8</v>
      </c>
      <c r="D880" s="31">
        <f>Table_supermarket_sales___Sheet1[[#This Row],[Cost Price]]+Table57[[#This Row],[Markup Cost]]</f>
        <v>126.02799999999999</v>
      </c>
      <c r="E880" s="4">
        <v>8</v>
      </c>
      <c r="F880" s="20">
        <f>Table_supermarket_sales___Sheet13[[#This Row],[Selling Price]]-Table_supermarket_sales___Sheet13[[#This Row],[Cost Price]]</f>
        <v>36.007999999999996</v>
      </c>
    </row>
    <row r="881" spans="1:6" x14ac:dyDescent="0.35">
      <c r="A881" s="3" t="s">
        <v>2</v>
      </c>
      <c r="B881" s="27">
        <v>12.1</v>
      </c>
      <c r="C881" s="1">
        <v>8</v>
      </c>
      <c r="D881" s="31">
        <f>Table_supermarket_sales___Sheet1[[#This Row],[Cost Price]]+Table57[[#This Row],[Markup Cost]]</f>
        <v>16.939999999999998</v>
      </c>
      <c r="E881" s="1">
        <v>8</v>
      </c>
      <c r="F881" s="20">
        <f>Table_supermarket_sales___Sheet13[[#This Row],[Selling Price]]-Table_supermarket_sales___Sheet13[[#This Row],[Cost Price]]</f>
        <v>4.8399999999999981</v>
      </c>
    </row>
    <row r="882" spans="1:6" x14ac:dyDescent="0.35">
      <c r="A882" s="3" t="s">
        <v>5</v>
      </c>
      <c r="B882" s="27">
        <v>33.21</v>
      </c>
      <c r="C882" s="1">
        <v>10</v>
      </c>
      <c r="D882" s="31">
        <f>Table_supermarket_sales___Sheet1[[#This Row],[Cost Price]]+Table57[[#This Row],[Markup Cost]]</f>
        <v>49.814999999999998</v>
      </c>
      <c r="E882" s="4">
        <v>10</v>
      </c>
      <c r="F882" s="20">
        <f>Table_supermarket_sales___Sheet13[[#This Row],[Selling Price]]-Table_supermarket_sales___Sheet13[[#This Row],[Cost Price]]</f>
        <v>16.604999999999997</v>
      </c>
    </row>
    <row r="883" spans="1:6" x14ac:dyDescent="0.35">
      <c r="A883" s="3" t="s">
        <v>6</v>
      </c>
      <c r="B883" s="27">
        <v>10.18</v>
      </c>
      <c r="C883" s="1">
        <v>8</v>
      </c>
      <c r="D883" s="31">
        <f>Table_supermarket_sales___Sheet1[[#This Row],[Cost Price]]+Table57[[#This Row],[Markup Cost]]</f>
        <v>14.251999999999999</v>
      </c>
      <c r="E883" s="1">
        <v>8</v>
      </c>
      <c r="F883" s="20">
        <f>Table_supermarket_sales___Sheet13[[#This Row],[Selling Price]]-Table_supermarket_sales___Sheet13[[#This Row],[Cost Price]]</f>
        <v>4.0719999999999992</v>
      </c>
    </row>
    <row r="884" spans="1:6" x14ac:dyDescent="0.35">
      <c r="A884" s="3" t="s">
        <v>4</v>
      </c>
      <c r="B884" s="27">
        <v>31.99</v>
      </c>
      <c r="C884" s="1">
        <v>10</v>
      </c>
      <c r="D884" s="31">
        <f>Table_supermarket_sales___Sheet1[[#This Row],[Cost Price]]+Table57[[#This Row],[Markup Cost]]</f>
        <v>47.984999999999999</v>
      </c>
      <c r="E884" s="4">
        <v>10</v>
      </c>
      <c r="F884" s="20">
        <f>Table_supermarket_sales___Sheet13[[#This Row],[Selling Price]]-Table_supermarket_sales___Sheet13[[#This Row],[Cost Price]]</f>
        <v>15.995000000000001</v>
      </c>
    </row>
    <row r="885" spans="1:6" x14ac:dyDescent="0.35">
      <c r="A885" s="3" t="s">
        <v>3</v>
      </c>
      <c r="B885" s="27">
        <v>34.42</v>
      </c>
      <c r="C885" s="1">
        <v>6</v>
      </c>
      <c r="D885" s="31">
        <f>Table_supermarket_sales___Sheet1[[#This Row],[Cost Price]]+Table57[[#This Row],[Markup Cost]]</f>
        <v>44.746000000000002</v>
      </c>
      <c r="E885" s="1">
        <v>6</v>
      </c>
      <c r="F885" s="20">
        <f>Table_supermarket_sales___Sheet13[[#This Row],[Selling Price]]-Table_supermarket_sales___Sheet13[[#This Row],[Cost Price]]</f>
        <v>10.326000000000001</v>
      </c>
    </row>
    <row r="886" spans="1:6" x14ac:dyDescent="0.35">
      <c r="A886" s="3" t="s">
        <v>5</v>
      </c>
      <c r="B886" s="27">
        <v>83.34</v>
      </c>
      <c r="C886" s="1">
        <v>2</v>
      </c>
      <c r="D886" s="31">
        <f>Table_supermarket_sales___Sheet1[[#This Row],[Cost Price]]+Table57[[#This Row],[Markup Cost]]</f>
        <v>91.674000000000007</v>
      </c>
      <c r="E886" s="4">
        <v>2</v>
      </c>
      <c r="F886" s="20">
        <f>Table_supermarket_sales___Sheet13[[#This Row],[Selling Price]]-Table_supermarket_sales___Sheet13[[#This Row],[Cost Price]]</f>
        <v>8.3340000000000032</v>
      </c>
    </row>
    <row r="887" spans="1:6" x14ac:dyDescent="0.35">
      <c r="A887" s="3" t="s">
        <v>4</v>
      </c>
      <c r="B887" s="27">
        <v>45.58</v>
      </c>
      <c r="C887" s="1">
        <v>7</v>
      </c>
      <c r="D887" s="31">
        <f>Table_supermarket_sales___Sheet1[[#This Row],[Cost Price]]+Table57[[#This Row],[Markup Cost]]</f>
        <v>61.533000000000001</v>
      </c>
      <c r="E887" s="1">
        <v>7</v>
      </c>
      <c r="F887" s="20">
        <f>Table_supermarket_sales___Sheet13[[#This Row],[Selling Price]]-Table_supermarket_sales___Sheet13[[#This Row],[Cost Price]]</f>
        <v>15.953000000000003</v>
      </c>
    </row>
    <row r="888" spans="1:6" x14ac:dyDescent="0.35">
      <c r="A888" s="3" t="s">
        <v>5</v>
      </c>
      <c r="B888" s="27">
        <v>87.9</v>
      </c>
      <c r="C888" s="1">
        <v>1</v>
      </c>
      <c r="D888" s="31">
        <f>Table_supermarket_sales___Sheet1[[#This Row],[Cost Price]]+Table57[[#This Row],[Markup Cost]]</f>
        <v>92.295000000000002</v>
      </c>
      <c r="E888" s="4">
        <v>1</v>
      </c>
      <c r="F888" s="20">
        <f>Table_supermarket_sales___Sheet13[[#This Row],[Selling Price]]-Table_supermarket_sales___Sheet13[[#This Row],[Cost Price]]</f>
        <v>4.394999999999996</v>
      </c>
    </row>
    <row r="889" spans="1:6" x14ac:dyDescent="0.35">
      <c r="A889" s="3" t="s">
        <v>2</v>
      </c>
      <c r="B889" s="27">
        <v>73.47</v>
      </c>
      <c r="C889" s="1">
        <v>10</v>
      </c>
      <c r="D889" s="31">
        <f>Table_supermarket_sales___Sheet1[[#This Row],[Cost Price]]+Table57[[#This Row],[Markup Cost]]</f>
        <v>110.205</v>
      </c>
      <c r="E889" s="1">
        <v>10</v>
      </c>
      <c r="F889" s="20">
        <f>Table_supermarket_sales___Sheet13[[#This Row],[Selling Price]]-Table_supermarket_sales___Sheet13[[#This Row],[Cost Price]]</f>
        <v>36.734999999999999</v>
      </c>
    </row>
    <row r="890" spans="1:6" x14ac:dyDescent="0.35">
      <c r="A890" s="3" t="s">
        <v>6</v>
      </c>
      <c r="B890" s="27">
        <v>12.19</v>
      </c>
      <c r="C890" s="1">
        <v>8</v>
      </c>
      <c r="D890" s="31">
        <f>Table_supermarket_sales___Sheet1[[#This Row],[Cost Price]]+Table57[[#This Row],[Markup Cost]]</f>
        <v>17.065999999999999</v>
      </c>
      <c r="E890" s="4">
        <v>8</v>
      </c>
      <c r="F890" s="20">
        <f>Table_supermarket_sales___Sheet13[[#This Row],[Selling Price]]-Table_supermarket_sales___Sheet13[[#This Row],[Cost Price]]</f>
        <v>4.8759999999999994</v>
      </c>
    </row>
    <row r="891" spans="1:6" x14ac:dyDescent="0.35">
      <c r="A891" s="3" t="s">
        <v>4</v>
      </c>
      <c r="B891" s="27">
        <v>76.92</v>
      </c>
      <c r="C891" s="1">
        <v>10</v>
      </c>
      <c r="D891" s="31">
        <f>Table_supermarket_sales___Sheet1[[#This Row],[Cost Price]]+Table57[[#This Row],[Markup Cost]]</f>
        <v>115.38</v>
      </c>
      <c r="E891" s="1">
        <v>10</v>
      </c>
      <c r="F891" s="20">
        <f>Table_supermarket_sales___Sheet13[[#This Row],[Selling Price]]-Table_supermarket_sales___Sheet13[[#This Row],[Cost Price]]</f>
        <v>38.459999999999994</v>
      </c>
    </row>
    <row r="892" spans="1:6" x14ac:dyDescent="0.35">
      <c r="A892" s="3" t="s">
        <v>1</v>
      </c>
      <c r="B892" s="27">
        <v>83.66</v>
      </c>
      <c r="C892" s="1">
        <v>5</v>
      </c>
      <c r="D892" s="31">
        <f>Table_supermarket_sales___Sheet1[[#This Row],[Cost Price]]+Table57[[#This Row],[Markup Cost]]</f>
        <v>104.57499999999999</v>
      </c>
      <c r="E892" s="4">
        <v>5</v>
      </c>
      <c r="F892" s="20">
        <f>Table_supermarket_sales___Sheet13[[#This Row],[Selling Price]]-Table_supermarket_sales___Sheet13[[#This Row],[Cost Price]]</f>
        <v>20.914999999999992</v>
      </c>
    </row>
    <row r="893" spans="1:6" x14ac:dyDescent="0.35">
      <c r="A893" s="3" t="s">
        <v>2</v>
      </c>
      <c r="B893" s="27">
        <v>57.91</v>
      </c>
      <c r="C893" s="1">
        <v>8</v>
      </c>
      <c r="D893" s="31">
        <f>Table_supermarket_sales___Sheet1[[#This Row],[Cost Price]]+Table57[[#This Row],[Markup Cost]]</f>
        <v>81.073999999999998</v>
      </c>
      <c r="E893" s="1">
        <v>8</v>
      </c>
      <c r="F893" s="20">
        <f>Table_supermarket_sales___Sheet13[[#This Row],[Selling Price]]-Table_supermarket_sales___Sheet13[[#This Row],[Cost Price]]</f>
        <v>23.164000000000001</v>
      </c>
    </row>
    <row r="894" spans="1:6" x14ac:dyDescent="0.35">
      <c r="A894" s="3" t="s">
        <v>6</v>
      </c>
      <c r="B894" s="27">
        <v>92.49</v>
      </c>
      <c r="C894" s="1">
        <v>5</v>
      </c>
      <c r="D894" s="31">
        <f>Table_supermarket_sales___Sheet1[[#This Row],[Cost Price]]+Table57[[#This Row],[Markup Cost]]</f>
        <v>115.6125</v>
      </c>
      <c r="E894" s="4">
        <v>5</v>
      </c>
      <c r="F894" s="20">
        <f>Table_supermarket_sales___Sheet13[[#This Row],[Selling Price]]-Table_supermarket_sales___Sheet13[[#This Row],[Cost Price]]</f>
        <v>23.122500000000002</v>
      </c>
    </row>
    <row r="895" spans="1:6" x14ac:dyDescent="0.35">
      <c r="A895" s="3" t="s">
        <v>2</v>
      </c>
      <c r="B895" s="27">
        <v>28.38</v>
      </c>
      <c r="C895" s="1">
        <v>5</v>
      </c>
      <c r="D895" s="31">
        <f>Table_supermarket_sales___Sheet1[[#This Row],[Cost Price]]+Table57[[#This Row],[Markup Cost]]</f>
        <v>35.475000000000001</v>
      </c>
      <c r="E895" s="1">
        <v>5</v>
      </c>
      <c r="F895" s="20">
        <f>Table_supermarket_sales___Sheet13[[#This Row],[Selling Price]]-Table_supermarket_sales___Sheet13[[#This Row],[Cost Price]]</f>
        <v>7.0950000000000024</v>
      </c>
    </row>
    <row r="896" spans="1:6" x14ac:dyDescent="0.35">
      <c r="A896" s="3" t="s">
        <v>2</v>
      </c>
      <c r="B896" s="27">
        <v>50.45</v>
      </c>
      <c r="C896" s="1">
        <v>6</v>
      </c>
      <c r="D896" s="31">
        <f>Table_supermarket_sales___Sheet1[[#This Row],[Cost Price]]+Table57[[#This Row],[Markup Cost]]</f>
        <v>65.585000000000008</v>
      </c>
      <c r="E896" s="4">
        <v>6</v>
      </c>
      <c r="F896" s="20">
        <f>Table_supermarket_sales___Sheet13[[#This Row],[Selling Price]]-Table_supermarket_sales___Sheet13[[#This Row],[Cost Price]]</f>
        <v>15.135000000000005</v>
      </c>
    </row>
    <row r="897" spans="1:6" x14ac:dyDescent="0.35">
      <c r="A897" s="3" t="s">
        <v>1</v>
      </c>
      <c r="B897" s="27">
        <v>99.16</v>
      </c>
      <c r="C897" s="1">
        <v>8</v>
      </c>
      <c r="D897" s="31">
        <f>Table_supermarket_sales___Sheet1[[#This Row],[Cost Price]]+Table57[[#This Row],[Markup Cost]]</f>
        <v>138.82400000000001</v>
      </c>
      <c r="E897" s="1">
        <v>8</v>
      </c>
      <c r="F897" s="20">
        <f>Table_supermarket_sales___Sheet13[[#This Row],[Selling Price]]-Table_supermarket_sales___Sheet13[[#This Row],[Cost Price]]</f>
        <v>39.664000000000016</v>
      </c>
    </row>
    <row r="898" spans="1:6" x14ac:dyDescent="0.35">
      <c r="A898" s="3" t="s">
        <v>6</v>
      </c>
      <c r="B898" s="27">
        <v>60.74</v>
      </c>
      <c r="C898" s="1">
        <v>7</v>
      </c>
      <c r="D898" s="31">
        <f>Table_supermarket_sales___Sheet1[[#This Row],[Cost Price]]+Table57[[#This Row],[Markup Cost]]</f>
        <v>81.998999999999995</v>
      </c>
      <c r="E898" s="4">
        <v>7</v>
      </c>
      <c r="F898" s="20">
        <f>Table_supermarket_sales___Sheet13[[#This Row],[Selling Price]]-Table_supermarket_sales___Sheet13[[#This Row],[Cost Price]]</f>
        <v>21.258999999999993</v>
      </c>
    </row>
    <row r="899" spans="1:6" x14ac:dyDescent="0.35">
      <c r="A899" s="3" t="s">
        <v>5</v>
      </c>
      <c r="B899" s="27">
        <v>47.27</v>
      </c>
      <c r="C899" s="1">
        <v>6</v>
      </c>
      <c r="D899" s="31">
        <f>Table_supermarket_sales___Sheet1[[#This Row],[Cost Price]]+Table57[[#This Row],[Markup Cost]]</f>
        <v>61.451000000000001</v>
      </c>
      <c r="E899" s="1">
        <v>6</v>
      </c>
      <c r="F899" s="20">
        <f>Table_supermarket_sales___Sheet13[[#This Row],[Selling Price]]-Table_supermarket_sales___Sheet13[[#This Row],[Cost Price]]</f>
        <v>14.180999999999997</v>
      </c>
    </row>
    <row r="900" spans="1:6" x14ac:dyDescent="0.35">
      <c r="A900" s="3" t="s">
        <v>1</v>
      </c>
      <c r="B900" s="27">
        <v>85.6</v>
      </c>
      <c r="C900" s="1">
        <v>7</v>
      </c>
      <c r="D900" s="31">
        <f>Table_supermarket_sales___Sheet1[[#This Row],[Cost Price]]+Table57[[#This Row],[Markup Cost]]</f>
        <v>115.56</v>
      </c>
      <c r="E900" s="4">
        <v>7</v>
      </c>
      <c r="F900" s="20">
        <f>Table_supermarket_sales___Sheet13[[#This Row],[Selling Price]]-Table_supermarket_sales___Sheet13[[#This Row],[Cost Price]]</f>
        <v>29.960000000000008</v>
      </c>
    </row>
    <row r="901" spans="1:6" x14ac:dyDescent="0.35">
      <c r="A901" s="3" t="s">
        <v>5</v>
      </c>
      <c r="B901" s="27">
        <v>35.04</v>
      </c>
      <c r="C901" s="1">
        <v>9</v>
      </c>
      <c r="D901" s="31">
        <f>Table_supermarket_sales___Sheet1[[#This Row],[Cost Price]]+Table57[[#This Row],[Markup Cost]]</f>
        <v>50.808</v>
      </c>
      <c r="E901" s="1">
        <v>9</v>
      </c>
      <c r="F901" s="20">
        <f>Table_supermarket_sales___Sheet13[[#This Row],[Selling Price]]-Table_supermarket_sales___Sheet13[[#This Row],[Cost Price]]</f>
        <v>15.768000000000001</v>
      </c>
    </row>
    <row r="902" spans="1:6" x14ac:dyDescent="0.35">
      <c r="A902" s="3" t="s">
        <v>2</v>
      </c>
      <c r="B902" s="27">
        <v>44.84</v>
      </c>
      <c r="C902" s="1">
        <v>9</v>
      </c>
      <c r="D902" s="31">
        <f>Table_supermarket_sales___Sheet1[[#This Row],[Cost Price]]+Table57[[#This Row],[Markup Cost]]</f>
        <v>65.018000000000001</v>
      </c>
      <c r="E902" s="4">
        <v>9</v>
      </c>
      <c r="F902" s="20">
        <f>Table_supermarket_sales___Sheet13[[#This Row],[Selling Price]]-Table_supermarket_sales___Sheet13[[#This Row],[Cost Price]]</f>
        <v>20.177999999999997</v>
      </c>
    </row>
    <row r="903" spans="1:6" x14ac:dyDescent="0.35">
      <c r="A903" s="3" t="s">
        <v>3</v>
      </c>
      <c r="B903" s="27">
        <v>45.97</v>
      </c>
      <c r="C903" s="1">
        <v>4</v>
      </c>
      <c r="D903" s="31">
        <f>Table_supermarket_sales___Sheet1[[#This Row],[Cost Price]]+Table57[[#This Row],[Markup Cost]]</f>
        <v>55.164000000000001</v>
      </c>
      <c r="E903" s="1">
        <v>4</v>
      </c>
      <c r="F903" s="20">
        <f>Table_supermarket_sales___Sheet13[[#This Row],[Selling Price]]-Table_supermarket_sales___Sheet13[[#This Row],[Cost Price]]</f>
        <v>9.1940000000000026</v>
      </c>
    </row>
    <row r="904" spans="1:6" x14ac:dyDescent="0.35">
      <c r="A904" s="3" t="s">
        <v>1</v>
      </c>
      <c r="B904" s="27">
        <v>27.73</v>
      </c>
      <c r="C904" s="1">
        <v>5</v>
      </c>
      <c r="D904" s="31">
        <f>Table_supermarket_sales___Sheet1[[#This Row],[Cost Price]]+Table57[[#This Row],[Markup Cost]]</f>
        <v>34.662500000000001</v>
      </c>
      <c r="E904" s="4">
        <v>5</v>
      </c>
      <c r="F904" s="20">
        <f>Table_supermarket_sales___Sheet13[[#This Row],[Selling Price]]-Table_supermarket_sales___Sheet13[[#This Row],[Cost Price]]</f>
        <v>6.932500000000001</v>
      </c>
    </row>
    <row r="905" spans="1:6" x14ac:dyDescent="0.35">
      <c r="A905" s="3" t="s">
        <v>5</v>
      </c>
      <c r="B905" s="27">
        <v>11.53</v>
      </c>
      <c r="C905" s="1">
        <v>7</v>
      </c>
      <c r="D905" s="31">
        <f>Table_supermarket_sales___Sheet1[[#This Row],[Cost Price]]+Table57[[#This Row],[Markup Cost]]</f>
        <v>15.5655</v>
      </c>
      <c r="E905" s="1">
        <v>7</v>
      </c>
      <c r="F905" s="20">
        <f>Table_supermarket_sales___Sheet13[[#This Row],[Selling Price]]-Table_supermarket_sales___Sheet13[[#This Row],[Cost Price]]</f>
        <v>4.0355000000000008</v>
      </c>
    </row>
    <row r="906" spans="1:6" x14ac:dyDescent="0.35">
      <c r="A906" s="3" t="s">
        <v>1</v>
      </c>
      <c r="B906" s="27">
        <v>58.32</v>
      </c>
      <c r="C906" s="1">
        <v>2</v>
      </c>
      <c r="D906" s="31">
        <f>Table_supermarket_sales___Sheet1[[#This Row],[Cost Price]]+Table57[[#This Row],[Markup Cost]]</f>
        <v>64.152000000000001</v>
      </c>
      <c r="E906" s="4">
        <v>2</v>
      </c>
      <c r="F906" s="20">
        <f>Table_supermarket_sales___Sheet13[[#This Row],[Selling Price]]-Table_supermarket_sales___Sheet13[[#This Row],[Cost Price]]</f>
        <v>5.8320000000000007</v>
      </c>
    </row>
    <row r="907" spans="1:6" x14ac:dyDescent="0.35">
      <c r="A907" s="3" t="s">
        <v>3</v>
      </c>
      <c r="B907" s="27">
        <v>78.38</v>
      </c>
      <c r="C907" s="1">
        <v>4</v>
      </c>
      <c r="D907" s="31">
        <f>Table_supermarket_sales___Sheet1[[#This Row],[Cost Price]]+Table57[[#This Row],[Markup Cost]]</f>
        <v>94.055999999999997</v>
      </c>
      <c r="E907" s="1">
        <v>4</v>
      </c>
      <c r="F907" s="20">
        <f>Table_supermarket_sales___Sheet13[[#This Row],[Selling Price]]-Table_supermarket_sales___Sheet13[[#This Row],[Cost Price]]</f>
        <v>15.676000000000002</v>
      </c>
    </row>
    <row r="908" spans="1:6" x14ac:dyDescent="0.35">
      <c r="A908" s="3" t="s">
        <v>1</v>
      </c>
      <c r="B908" s="27">
        <v>84.61</v>
      </c>
      <c r="C908" s="1">
        <v>10</v>
      </c>
      <c r="D908" s="31">
        <f>Table_supermarket_sales___Sheet1[[#This Row],[Cost Price]]+Table57[[#This Row],[Markup Cost]]</f>
        <v>126.91499999999999</v>
      </c>
      <c r="E908" s="4">
        <v>10</v>
      </c>
      <c r="F908" s="20">
        <f>Table_supermarket_sales___Sheet13[[#This Row],[Selling Price]]-Table_supermarket_sales___Sheet13[[#This Row],[Cost Price]]</f>
        <v>42.304999999999993</v>
      </c>
    </row>
    <row r="909" spans="1:6" x14ac:dyDescent="0.35">
      <c r="A909" s="3" t="s">
        <v>1</v>
      </c>
      <c r="B909" s="27">
        <v>82.88</v>
      </c>
      <c r="C909" s="1">
        <v>5</v>
      </c>
      <c r="D909" s="31">
        <f>Table_supermarket_sales___Sheet1[[#This Row],[Cost Price]]+Table57[[#This Row],[Markup Cost]]</f>
        <v>103.6</v>
      </c>
      <c r="E909" s="1">
        <v>5</v>
      </c>
      <c r="F909" s="20">
        <f>Table_supermarket_sales___Sheet13[[#This Row],[Selling Price]]-Table_supermarket_sales___Sheet13[[#This Row],[Cost Price]]</f>
        <v>20.72</v>
      </c>
    </row>
    <row r="910" spans="1:6" x14ac:dyDescent="0.35">
      <c r="A910" s="3" t="s">
        <v>5</v>
      </c>
      <c r="B910" s="27">
        <v>79.540000000000006</v>
      </c>
      <c r="C910" s="1">
        <v>2</v>
      </c>
      <c r="D910" s="31">
        <f>Table_supermarket_sales___Sheet1[[#This Row],[Cost Price]]+Table57[[#This Row],[Markup Cost]]</f>
        <v>87.494</v>
      </c>
      <c r="E910" s="4">
        <v>2</v>
      </c>
      <c r="F910" s="20">
        <f>Table_supermarket_sales___Sheet13[[#This Row],[Selling Price]]-Table_supermarket_sales___Sheet13[[#This Row],[Cost Price]]</f>
        <v>7.9539999999999935</v>
      </c>
    </row>
    <row r="911" spans="1:6" x14ac:dyDescent="0.35">
      <c r="A911" s="3" t="s">
        <v>3</v>
      </c>
      <c r="B911" s="27">
        <v>49.01</v>
      </c>
      <c r="C911" s="1">
        <v>10</v>
      </c>
      <c r="D911" s="31">
        <f>Table_supermarket_sales___Sheet1[[#This Row],[Cost Price]]+Table57[[#This Row],[Markup Cost]]</f>
        <v>73.515000000000001</v>
      </c>
      <c r="E911" s="1">
        <v>10</v>
      </c>
      <c r="F911" s="20">
        <f>Table_supermarket_sales___Sheet13[[#This Row],[Selling Price]]-Table_supermarket_sales___Sheet13[[#This Row],[Cost Price]]</f>
        <v>24.505000000000003</v>
      </c>
    </row>
    <row r="912" spans="1:6" x14ac:dyDescent="0.35">
      <c r="A912" s="3" t="s">
        <v>5</v>
      </c>
      <c r="B912" s="27">
        <v>29.15</v>
      </c>
      <c r="C912" s="1">
        <v>3</v>
      </c>
      <c r="D912" s="31">
        <f>Table_supermarket_sales___Sheet1[[#This Row],[Cost Price]]+Table57[[#This Row],[Markup Cost]]</f>
        <v>33.522500000000001</v>
      </c>
      <c r="E912" s="4">
        <v>3</v>
      </c>
      <c r="F912" s="20">
        <f>Table_supermarket_sales___Sheet13[[#This Row],[Selling Price]]-Table_supermarket_sales___Sheet13[[#This Row],[Cost Price]]</f>
        <v>4.3725000000000023</v>
      </c>
    </row>
    <row r="913" spans="1:6" x14ac:dyDescent="0.35">
      <c r="A913" s="3" t="s">
        <v>2</v>
      </c>
      <c r="B913" s="27">
        <v>56.13</v>
      </c>
      <c r="C913" s="1">
        <v>4</v>
      </c>
      <c r="D913" s="31">
        <f>Table_supermarket_sales___Sheet1[[#This Row],[Cost Price]]+Table57[[#This Row],[Markup Cost]]</f>
        <v>67.356000000000009</v>
      </c>
      <c r="E913" s="1">
        <v>4</v>
      </c>
      <c r="F913" s="20">
        <f>Table_supermarket_sales___Sheet13[[#This Row],[Selling Price]]-Table_supermarket_sales___Sheet13[[#This Row],[Cost Price]]</f>
        <v>11.226000000000006</v>
      </c>
    </row>
    <row r="914" spans="1:6" x14ac:dyDescent="0.35">
      <c r="A914" s="3" t="s">
        <v>3</v>
      </c>
      <c r="B914" s="27">
        <v>93.12</v>
      </c>
      <c r="C914" s="1">
        <v>8</v>
      </c>
      <c r="D914" s="31">
        <f>Table_supermarket_sales___Sheet1[[#This Row],[Cost Price]]+Table57[[#This Row],[Markup Cost]]</f>
        <v>130.36799999999999</v>
      </c>
      <c r="E914" s="4">
        <v>8</v>
      </c>
      <c r="F914" s="20">
        <f>Table_supermarket_sales___Sheet13[[#This Row],[Selling Price]]-Table_supermarket_sales___Sheet13[[#This Row],[Cost Price]]</f>
        <v>37.24799999999999</v>
      </c>
    </row>
    <row r="915" spans="1:6" x14ac:dyDescent="0.35">
      <c r="A915" s="3" t="s">
        <v>6</v>
      </c>
      <c r="B915" s="27">
        <v>51.34</v>
      </c>
      <c r="C915" s="1">
        <v>8</v>
      </c>
      <c r="D915" s="31">
        <f>Table_supermarket_sales___Sheet1[[#This Row],[Cost Price]]+Table57[[#This Row],[Markup Cost]]</f>
        <v>71.876000000000005</v>
      </c>
      <c r="E915" s="1">
        <v>8</v>
      </c>
      <c r="F915" s="20">
        <f>Table_supermarket_sales___Sheet13[[#This Row],[Selling Price]]-Table_supermarket_sales___Sheet13[[#This Row],[Cost Price]]</f>
        <v>20.536000000000001</v>
      </c>
    </row>
    <row r="916" spans="1:6" x14ac:dyDescent="0.35">
      <c r="A916" s="3" t="s">
        <v>5</v>
      </c>
      <c r="B916" s="27">
        <v>99.6</v>
      </c>
      <c r="C916" s="1">
        <v>3</v>
      </c>
      <c r="D916" s="31">
        <f>Table_supermarket_sales___Sheet1[[#This Row],[Cost Price]]+Table57[[#This Row],[Markup Cost]]</f>
        <v>114.53999999999999</v>
      </c>
      <c r="E916" s="4">
        <v>3</v>
      </c>
      <c r="F916" s="20">
        <f>Table_supermarket_sales___Sheet13[[#This Row],[Selling Price]]-Table_supermarket_sales___Sheet13[[#This Row],[Cost Price]]</f>
        <v>14.939999999999998</v>
      </c>
    </row>
    <row r="917" spans="1:6" x14ac:dyDescent="0.35">
      <c r="A917" s="3" t="s">
        <v>2</v>
      </c>
      <c r="B917" s="27">
        <v>35.49</v>
      </c>
      <c r="C917" s="1">
        <v>6</v>
      </c>
      <c r="D917" s="31">
        <f>Table_supermarket_sales___Sheet1[[#This Row],[Cost Price]]+Table57[[#This Row],[Markup Cost]]</f>
        <v>46.137</v>
      </c>
      <c r="E917" s="1">
        <v>6</v>
      </c>
      <c r="F917" s="20">
        <f>Table_supermarket_sales___Sheet13[[#This Row],[Selling Price]]-Table_supermarket_sales___Sheet13[[#This Row],[Cost Price]]</f>
        <v>10.646999999999998</v>
      </c>
    </row>
    <row r="918" spans="1:6" x14ac:dyDescent="0.35">
      <c r="A918" s="3" t="s">
        <v>4</v>
      </c>
      <c r="B918" s="27">
        <v>42.85</v>
      </c>
      <c r="C918" s="1">
        <v>1</v>
      </c>
      <c r="D918" s="31">
        <f>Table_supermarket_sales___Sheet1[[#This Row],[Cost Price]]+Table57[[#This Row],[Markup Cost]]</f>
        <v>44.9925</v>
      </c>
      <c r="E918" s="4">
        <v>1</v>
      </c>
      <c r="F918" s="20">
        <f>Table_supermarket_sales___Sheet13[[#This Row],[Selling Price]]-Table_supermarket_sales___Sheet13[[#This Row],[Cost Price]]</f>
        <v>2.1424999999999983</v>
      </c>
    </row>
    <row r="919" spans="1:6" x14ac:dyDescent="0.35">
      <c r="A919" s="3" t="s">
        <v>6</v>
      </c>
      <c r="B919" s="27">
        <v>94.67</v>
      </c>
      <c r="C919" s="1">
        <v>4</v>
      </c>
      <c r="D919" s="31">
        <f>Table_supermarket_sales___Sheet1[[#This Row],[Cost Price]]+Table57[[#This Row],[Markup Cost]]</f>
        <v>113.604</v>
      </c>
      <c r="E919" s="1">
        <v>4</v>
      </c>
      <c r="F919" s="20">
        <f>Table_supermarket_sales___Sheet13[[#This Row],[Selling Price]]-Table_supermarket_sales___Sheet13[[#This Row],[Cost Price]]</f>
        <v>18.933999999999997</v>
      </c>
    </row>
    <row r="920" spans="1:6" x14ac:dyDescent="0.35">
      <c r="A920" s="3" t="s">
        <v>3</v>
      </c>
      <c r="B920" s="27">
        <v>68.97</v>
      </c>
      <c r="C920" s="1">
        <v>3</v>
      </c>
      <c r="D920" s="31">
        <f>Table_supermarket_sales___Sheet1[[#This Row],[Cost Price]]+Table57[[#This Row],[Markup Cost]]</f>
        <v>79.3155</v>
      </c>
      <c r="E920" s="4">
        <v>3</v>
      </c>
      <c r="F920" s="20">
        <f>Table_supermarket_sales___Sheet13[[#This Row],[Selling Price]]-Table_supermarket_sales___Sheet13[[#This Row],[Cost Price]]</f>
        <v>10.345500000000001</v>
      </c>
    </row>
    <row r="921" spans="1:6" x14ac:dyDescent="0.35">
      <c r="A921" s="3" t="s">
        <v>2</v>
      </c>
      <c r="B921" s="27">
        <v>26.26</v>
      </c>
      <c r="C921" s="1">
        <v>3</v>
      </c>
      <c r="D921" s="31">
        <f>Table_supermarket_sales___Sheet1[[#This Row],[Cost Price]]+Table57[[#This Row],[Markup Cost]]</f>
        <v>30.199000000000002</v>
      </c>
      <c r="E921" s="1">
        <v>3</v>
      </c>
      <c r="F921" s="20">
        <f>Table_supermarket_sales___Sheet13[[#This Row],[Selling Price]]-Table_supermarket_sales___Sheet13[[#This Row],[Cost Price]]</f>
        <v>3.9390000000000001</v>
      </c>
    </row>
    <row r="922" spans="1:6" x14ac:dyDescent="0.35">
      <c r="A922" s="3" t="s">
        <v>3</v>
      </c>
      <c r="B922" s="27">
        <v>35.79</v>
      </c>
      <c r="C922" s="1">
        <v>9</v>
      </c>
      <c r="D922" s="31">
        <f>Table_supermarket_sales___Sheet1[[#This Row],[Cost Price]]+Table57[[#This Row],[Markup Cost]]</f>
        <v>51.895499999999998</v>
      </c>
      <c r="E922" s="4">
        <v>9</v>
      </c>
      <c r="F922" s="20">
        <f>Table_supermarket_sales___Sheet13[[#This Row],[Selling Price]]-Table_supermarket_sales___Sheet13[[#This Row],[Cost Price]]</f>
        <v>16.105499999999999</v>
      </c>
    </row>
    <row r="923" spans="1:6" x14ac:dyDescent="0.35">
      <c r="A923" s="3" t="s">
        <v>3</v>
      </c>
      <c r="B923" s="27">
        <v>16.37</v>
      </c>
      <c r="C923" s="1">
        <v>6</v>
      </c>
      <c r="D923" s="31">
        <f>Table_supermarket_sales___Sheet1[[#This Row],[Cost Price]]+Table57[[#This Row],[Markup Cost]]</f>
        <v>21.280999999999999</v>
      </c>
      <c r="E923" s="1">
        <v>6</v>
      </c>
      <c r="F923" s="20">
        <f>Table_supermarket_sales___Sheet13[[#This Row],[Selling Price]]-Table_supermarket_sales___Sheet13[[#This Row],[Cost Price]]</f>
        <v>4.9109999999999978</v>
      </c>
    </row>
    <row r="924" spans="1:6" x14ac:dyDescent="0.35">
      <c r="A924" s="3" t="s">
        <v>3</v>
      </c>
      <c r="B924" s="27">
        <v>12.73</v>
      </c>
      <c r="C924" s="1">
        <v>2</v>
      </c>
      <c r="D924" s="31">
        <f>Table_supermarket_sales___Sheet1[[#This Row],[Cost Price]]+Table57[[#This Row],[Markup Cost]]</f>
        <v>14.003</v>
      </c>
      <c r="E924" s="4">
        <v>2</v>
      </c>
      <c r="F924" s="20">
        <f>Table_supermarket_sales___Sheet13[[#This Row],[Selling Price]]-Table_supermarket_sales___Sheet13[[#This Row],[Cost Price]]</f>
        <v>1.2729999999999997</v>
      </c>
    </row>
    <row r="925" spans="1:6" x14ac:dyDescent="0.35">
      <c r="A925" s="3" t="s">
        <v>4</v>
      </c>
      <c r="B925" s="27">
        <v>83.14</v>
      </c>
      <c r="C925" s="1">
        <v>7</v>
      </c>
      <c r="D925" s="31">
        <f>Table_supermarket_sales___Sheet1[[#This Row],[Cost Price]]+Table57[[#This Row],[Markup Cost]]</f>
        <v>112.239</v>
      </c>
      <c r="E925" s="1">
        <v>7</v>
      </c>
      <c r="F925" s="20">
        <f>Table_supermarket_sales___Sheet13[[#This Row],[Selling Price]]-Table_supermarket_sales___Sheet13[[#This Row],[Cost Price]]</f>
        <v>29.099000000000004</v>
      </c>
    </row>
    <row r="926" spans="1:6" x14ac:dyDescent="0.35">
      <c r="A926" s="3" t="s">
        <v>4</v>
      </c>
      <c r="B926" s="27">
        <v>35.22</v>
      </c>
      <c r="C926" s="1">
        <v>6</v>
      </c>
      <c r="D926" s="31">
        <f>Table_supermarket_sales___Sheet1[[#This Row],[Cost Price]]+Table57[[#This Row],[Markup Cost]]</f>
        <v>45.786000000000001</v>
      </c>
      <c r="E926" s="4">
        <v>6</v>
      </c>
      <c r="F926" s="20">
        <f>Table_supermarket_sales___Sheet13[[#This Row],[Selling Price]]-Table_supermarket_sales___Sheet13[[#This Row],[Cost Price]]</f>
        <v>10.566000000000003</v>
      </c>
    </row>
    <row r="927" spans="1:6" x14ac:dyDescent="0.35">
      <c r="A927" s="3" t="s">
        <v>2</v>
      </c>
      <c r="B927" s="27">
        <v>13.78</v>
      </c>
      <c r="C927" s="1">
        <v>4</v>
      </c>
      <c r="D927" s="31">
        <f>Table_supermarket_sales___Sheet1[[#This Row],[Cost Price]]+Table57[[#This Row],[Markup Cost]]</f>
        <v>16.535999999999998</v>
      </c>
      <c r="E927" s="1">
        <v>4</v>
      </c>
      <c r="F927" s="20">
        <f>Table_supermarket_sales___Sheet13[[#This Row],[Selling Price]]-Table_supermarket_sales___Sheet13[[#This Row],[Cost Price]]</f>
        <v>2.7559999999999985</v>
      </c>
    </row>
    <row r="928" spans="1:6" x14ac:dyDescent="0.35">
      <c r="A928" s="3" t="s">
        <v>4</v>
      </c>
      <c r="B928" s="27">
        <v>88.31</v>
      </c>
      <c r="C928" s="1">
        <v>1</v>
      </c>
      <c r="D928" s="31">
        <f>Table_supermarket_sales___Sheet1[[#This Row],[Cost Price]]+Table57[[#This Row],[Markup Cost]]</f>
        <v>92.725499999999997</v>
      </c>
      <c r="E928" s="4">
        <v>1</v>
      </c>
      <c r="F928" s="20">
        <f>Table_supermarket_sales___Sheet13[[#This Row],[Selling Price]]-Table_supermarket_sales___Sheet13[[#This Row],[Cost Price]]</f>
        <v>4.4154999999999944</v>
      </c>
    </row>
    <row r="929" spans="1:6" x14ac:dyDescent="0.35">
      <c r="A929" s="3" t="s">
        <v>1</v>
      </c>
      <c r="B929" s="27">
        <v>39.619999999999997</v>
      </c>
      <c r="C929" s="1">
        <v>9</v>
      </c>
      <c r="D929" s="31">
        <f>Table_supermarket_sales___Sheet1[[#This Row],[Cost Price]]+Table57[[#This Row],[Markup Cost]]</f>
        <v>57.448999999999998</v>
      </c>
      <c r="E929" s="1">
        <v>9</v>
      </c>
      <c r="F929" s="20">
        <f>Table_supermarket_sales___Sheet13[[#This Row],[Selling Price]]-Table_supermarket_sales___Sheet13[[#This Row],[Cost Price]]</f>
        <v>17.829000000000001</v>
      </c>
    </row>
    <row r="930" spans="1:6" x14ac:dyDescent="0.35">
      <c r="A930" s="3" t="s">
        <v>2</v>
      </c>
      <c r="B930" s="27">
        <v>88.25</v>
      </c>
      <c r="C930" s="1">
        <v>9</v>
      </c>
      <c r="D930" s="31">
        <f>Table_supermarket_sales___Sheet1[[#This Row],[Cost Price]]+Table57[[#This Row],[Markup Cost]]</f>
        <v>127.96250000000001</v>
      </c>
      <c r="E930" s="4">
        <v>9</v>
      </c>
      <c r="F930" s="20">
        <f>Table_supermarket_sales___Sheet13[[#This Row],[Selling Price]]-Table_supermarket_sales___Sheet13[[#This Row],[Cost Price]]</f>
        <v>39.712500000000006</v>
      </c>
    </row>
    <row r="931" spans="1:6" x14ac:dyDescent="0.35">
      <c r="A931" s="3" t="s">
        <v>4</v>
      </c>
      <c r="B931" s="27">
        <v>25.31</v>
      </c>
      <c r="C931" s="1">
        <v>2</v>
      </c>
      <c r="D931" s="31">
        <f>Table_supermarket_sales___Sheet1[[#This Row],[Cost Price]]+Table57[[#This Row],[Markup Cost]]</f>
        <v>27.840999999999998</v>
      </c>
      <c r="E931" s="1">
        <v>2</v>
      </c>
      <c r="F931" s="20">
        <f>Table_supermarket_sales___Sheet13[[#This Row],[Selling Price]]-Table_supermarket_sales___Sheet13[[#This Row],[Cost Price]]</f>
        <v>2.5309999999999988</v>
      </c>
    </row>
    <row r="932" spans="1:6" x14ac:dyDescent="0.35">
      <c r="A932" s="3" t="s">
        <v>3</v>
      </c>
      <c r="B932" s="27">
        <v>99.92</v>
      </c>
      <c r="C932" s="1">
        <v>6</v>
      </c>
      <c r="D932" s="31">
        <f>Table_supermarket_sales___Sheet1[[#This Row],[Cost Price]]+Table57[[#This Row],[Markup Cost]]</f>
        <v>129.89600000000002</v>
      </c>
      <c r="E932" s="4">
        <v>6</v>
      </c>
      <c r="F932" s="20">
        <f>Table_supermarket_sales___Sheet13[[#This Row],[Selling Price]]-Table_supermarket_sales___Sheet13[[#This Row],[Cost Price]]</f>
        <v>29.976000000000013</v>
      </c>
    </row>
    <row r="933" spans="1:6" x14ac:dyDescent="0.35">
      <c r="A933" s="3" t="s">
        <v>6</v>
      </c>
      <c r="B933" s="27">
        <v>83.35</v>
      </c>
      <c r="C933" s="1">
        <v>2</v>
      </c>
      <c r="D933" s="31">
        <f>Table_supermarket_sales___Sheet1[[#This Row],[Cost Price]]+Table57[[#This Row],[Markup Cost]]</f>
        <v>91.685000000000002</v>
      </c>
      <c r="E933" s="1">
        <v>2</v>
      </c>
      <c r="F933" s="20">
        <f>Table_supermarket_sales___Sheet13[[#This Row],[Selling Price]]-Table_supermarket_sales___Sheet13[[#This Row],[Cost Price]]</f>
        <v>8.335000000000008</v>
      </c>
    </row>
    <row r="934" spans="1:6" x14ac:dyDescent="0.35">
      <c r="A934" s="3" t="s">
        <v>5</v>
      </c>
      <c r="B934" s="27">
        <v>74.44</v>
      </c>
      <c r="C934" s="1">
        <v>10</v>
      </c>
      <c r="D934" s="31">
        <f>Table_supermarket_sales___Sheet1[[#This Row],[Cost Price]]+Table57[[#This Row],[Markup Cost]]</f>
        <v>111.66</v>
      </c>
      <c r="E934" s="4">
        <v>10</v>
      </c>
      <c r="F934" s="20">
        <f>Table_supermarket_sales___Sheet13[[#This Row],[Selling Price]]-Table_supermarket_sales___Sheet13[[#This Row],[Cost Price]]</f>
        <v>37.22</v>
      </c>
    </row>
    <row r="935" spans="1:6" x14ac:dyDescent="0.35">
      <c r="A935" s="3" t="s">
        <v>1</v>
      </c>
      <c r="B935" s="27">
        <v>64.08</v>
      </c>
      <c r="C935" s="1">
        <v>7</v>
      </c>
      <c r="D935" s="31">
        <f>Table_supermarket_sales___Sheet1[[#This Row],[Cost Price]]+Table57[[#This Row],[Markup Cost]]</f>
        <v>86.507999999999996</v>
      </c>
      <c r="E935" s="1">
        <v>7</v>
      </c>
      <c r="F935" s="20">
        <f>Table_supermarket_sales___Sheet13[[#This Row],[Selling Price]]-Table_supermarket_sales___Sheet13[[#This Row],[Cost Price]]</f>
        <v>22.427999999999997</v>
      </c>
    </row>
    <row r="936" spans="1:6" x14ac:dyDescent="0.35">
      <c r="A936" s="3" t="s">
        <v>3</v>
      </c>
      <c r="B936" s="27">
        <v>63.15</v>
      </c>
      <c r="C936" s="1">
        <v>6</v>
      </c>
      <c r="D936" s="31">
        <f>Table_supermarket_sales___Sheet1[[#This Row],[Cost Price]]+Table57[[#This Row],[Markup Cost]]</f>
        <v>82.094999999999999</v>
      </c>
      <c r="E936" s="4">
        <v>6</v>
      </c>
      <c r="F936" s="20">
        <f>Table_supermarket_sales___Sheet13[[#This Row],[Selling Price]]-Table_supermarket_sales___Sheet13[[#This Row],[Cost Price]]</f>
        <v>18.945</v>
      </c>
    </row>
    <row r="937" spans="1:6" x14ac:dyDescent="0.35">
      <c r="A937" s="3" t="s">
        <v>3</v>
      </c>
      <c r="B937" s="27">
        <v>85.72</v>
      </c>
      <c r="C937" s="1">
        <v>3</v>
      </c>
      <c r="D937" s="31">
        <f>Table_supermarket_sales___Sheet1[[#This Row],[Cost Price]]+Table57[[#This Row],[Markup Cost]]</f>
        <v>98.578000000000003</v>
      </c>
      <c r="E937" s="1">
        <v>3</v>
      </c>
      <c r="F937" s="20">
        <f>Table_supermarket_sales___Sheet13[[#This Row],[Selling Price]]-Table_supermarket_sales___Sheet13[[#This Row],[Cost Price]]</f>
        <v>12.858000000000004</v>
      </c>
    </row>
    <row r="938" spans="1:6" x14ac:dyDescent="0.35">
      <c r="A938" s="3" t="s">
        <v>1</v>
      </c>
      <c r="B938" s="27">
        <v>78.89</v>
      </c>
      <c r="C938" s="1">
        <v>7</v>
      </c>
      <c r="D938" s="31">
        <f>Table_supermarket_sales___Sheet1[[#This Row],[Cost Price]]+Table57[[#This Row],[Markup Cost]]</f>
        <v>106.50149999999999</v>
      </c>
      <c r="E938" s="4">
        <v>7</v>
      </c>
      <c r="F938" s="20">
        <f>Table_supermarket_sales___Sheet13[[#This Row],[Selling Price]]-Table_supermarket_sales___Sheet13[[#This Row],[Cost Price]]</f>
        <v>27.611499999999992</v>
      </c>
    </row>
    <row r="939" spans="1:6" x14ac:dyDescent="0.35">
      <c r="A939" s="3" t="s">
        <v>4</v>
      </c>
      <c r="B939" s="27">
        <v>89.48</v>
      </c>
      <c r="C939" s="1">
        <v>5</v>
      </c>
      <c r="D939" s="31">
        <f>Table_supermarket_sales___Sheet1[[#This Row],[Cost Price]]+Table57[[#This Row],[Markup Cost]]</f>
        <v>111.85000000000001</v>
      </c>
      <c r="E939" s="1">
        <v>5</v>
      </c>
      <c r="F939" s="20">
        <f>Table_supermarket_sales___Sheet13[[#This Row],[Selling Price]]-Table_supermarket_sales___Sheet13[[#This Row],[Cost Price]]</f>
        <v>22.370000000000005</v>
      </c>
    </row>
    <row r="940" spans="1:6" x14ac:dyDescent="0.35">
      <c r="A940" s="3" t="s">
        <v>1</v>
      </c>
      <c r="B940" s="27">
        <v>92.09</v>
      </c>
      <c r="C940" s="1">
        <v>3</v>
      </c>
      <c r="D940" s="31">
        <f>Table_supermarket_sales___Sheet1[[#This Row],[Cost Price]]+Table57[[#This Row],[Markup Cost]]</f>
        <v>105.90350000000001</v>
      </c>
      <c r="E940" s="4">
        <v>3</v>
      </c>
      <c r="F940" s="20">
        <f>Table_supermarket_sales___Sheet13[[#This Row],[Selling Price]]-Table_supermarket_sales___Sheet13[[#This Row],[Cost Price]]</f>
        <v>13.813500000000005</v>
      </c>
    </row>
    <row r="941" spans="1:6" x14ac:dyDescent="0.35">
      <c r="A941" s="3" t="s">
        <v>5</v>
      </c>
      <c r="B941" s="27">
        <v>57.29</v>
      </c>
      <c r="C941" s="1">
        <v>6</v>
      </c>
      <c r="D941" s="31">
        <f>Table_supermarket_sales___Sheet1[[#This Row],[Cost Price]]+Table57[[#This Row],[Markup Cost]]</f>
        <v>74.477000000000004</v>
      </c>
      <c r="E941" s="1">
        <v>6</v>
      </c>
      <c r="F941" s="20">
        <f>Table_supermarket_sales___Sheet13[[#This Row],[Selling Price]]-Table_supermarket_sales___Sheet13[[#This Row],[Cost Price]]</f>
        <v>17.187000000000005</v>
      </c>
    </row>
    <row r="942" spans="1:6" x14ac:dyDescent="0.35">
      <c r="A942" s="3" t="s">
        <v>5</v>
      </c>
      <c r="B942" s="27">
        <v>66.52</v>
      </c>
      <c r="C942" s="1">
        <v>4</v>
      </c>
      <c r="D942" s="31">
        <f>Table_supermarket_sales___Sheet1[[#This Row],[Cost Price]]+Table57[[#This Row],[Markup Cost]]</f>
        <v>79.823999999999998</v>
      </c>
      <c r="E942" s="4">
        <v>4</v>
      </c>
      <c r="F942" s="20">
        <f>Table_supermarket_sales___Sheet13[[#This Row],[Selling Price]]-Table_supermarket_sales___Sheet13[[#This Row],[Cost Price]]</f>
        <v>13.304000000000002</v>
      </c>
    </row>
    <row r="943" spans="1:6" x14ac:dyDescent="0.35">
      <c r="A943" s="3" t="s">
        <v>6</v>
      </c>
      <c r="B943" s="27">
        <v>99.82</v>
      </c>
      <c r="C943" s="1">
        <v>9</v>
      </c>
      <c r="D943" s="31">
        <f>Table_supermarket_sales___Sheet1[[#This Row],[Cost Price]]+Table57[[#This Row],[Markup Cost]]</f>
        <v>144.73899999999998</v>
      </c>
      <c r="E943" s="1">
        <v>9</v>
      </c>
      <c r="F943" s="20">
        <f>Table_supermarket_sales___Sheet13[[#This Row],[Selling Price]]-Table_supermarket_sales___Sheet13[[#This Row],[Cost Price]]</f>
        <v>44.918999999999983</v>
      </c>
    </row>
    <row r="944" spans="1:6" x14ac:dyDescent="0.35">
      <c r="A944" s="3" t="s">
        <v>3</v>
      </c>
      <c r="B944" s="27">
        <v>45.68</v>
      </c>
      <c r="C944" s="1">
        <v>10</v>
      </c>
      <c r="D944" s="31">
        <f>Table_supermarket_sales___Sheet1[[#This Row],[Cost Price]]+Table57[[#This Row],[Markup Cost]]</f>
        <v>68.52</v>
      </c>
      <c r="E944" s="4">
        <v>10</v>
      </c>
      <c r="F944" s="20">
        <f>Table_supermarket_sales___Sheet13[[#This Row],[Selling Price]]-Table_supermarket_sales___Sheet13[[#This Row],[Cost Price]]</f>
        <v>22.839999999999996</v>
      </c>
    </row>
    <row r="945" spans="1:6" x14ac:dyDescent="0.35">
      <c r="A945" s="3" t="s">
        <v>1</v>
      </c>
      <c r="B945" s="27">
        <v>50.79</v>
      </c>
      <c r="C945" s="1">
        <v>5</v>
      </c>
      <c r="D945" s="31">
        <f>Table_supermarket_sales___Sheet1[[#This Row],[Cost Price]]+Table57[[#This Row],[Markup Cost]]</f>
        <v>63.487499999999997</v>
      </c>
      <c r="E945" s="1">
        <v>5</v>
      </c>
      <c r="F945" s="20">
        <f>Table_supermarket_sales___Sheet13[[#This Row],[Selling Price]]-Table_supermarket_sales___Sheet13[[#This Row],[Cost Price]]</f>
        <v>12.697499999999998</v>
      </c>
    </row>
    <row r="946" spans="1:6" x14ac:dyDescent="0.35">
      <c r="A946" s="3" t="s">
        <v>1</v>
      </c>
      <c r="B946" s="27">
        <v>10.08</v>
      </c>
      <c r="C946" s="1">
        <v>7</v>
      </c>
      <c r="D946" s="31">
        <f>Table_supermarket_sales___Sheet1[[#This Row],[Cost Price]]+Table57[[#This Row],[Markup Cost]]</f>
        <v>13.608000000000001</v>
      </c>
      <c r="E946" s="4">
        <v>7</v>
      </c>
      <c r="F946" s="20">
        <f>Table_supermarket_sales___Sheet13[[#This Row],[Selling Price]]-Table_supermarket_sales___Sheet13[[#This Row],[Cost Price]]</f>
        <v>3.5280000000000005</v>
      </c>
    </row>
    <row r="947" spans="1:6" x14ac:dyDescent="0.35">
      <c r="A947" s="3" t="s">
        <v>2</v>
      </c>
      <c r="B947" s="27">
        <v>93.88</v>
      </c>
      <c r="C947" s="1">
        <v>7</v>
      </c>
      <c r="D947" s="31">
        <f>Table_supermarket_sales___Sheet1[[#This Row],[Cost Price]]+Table57[[#This Row],[Markup Cost]]</f>
        <v>126.738</v>
      </c>
      <c r="E947" s="1">
        <v>7</v>
      </c>
      <c r="F947" s="20">
        <f>Table_supermarket_sales___Sheet13[[#This Row],[Selling Price]]-Table_supermarket_sales___Sheet13[[#This Row],[Cost Price]]</f>
        <v>32.858000000000004</v>
      </c>
    </row>
    <row r="948" spans="1:6" x14ac:dyDescent="0.35">
      <c r="A948" s="3" t="s">
        <v>2</v>
      </c>
      <c r="B948" s="27">
        <v>84.25</v>
      </c>
      <c r="C948" s="1">
        <v>2</v>
      </c>
      <c r="D948" s="31">
        <f>Table_supermarket_sales___Sheet1[[#This Row],[Cost Price]]+Table57[[#This Row],[Markup Cost]]</f>
        <v>92.674999999999997</v>
      </c>
      <c r="E948" s="4">
        <v>2</v>
      </c>
      <c r="F948" s="20">
        <f>Table_supermarket_sales___Sheet13[[#This Row],[Selling Price]]-Table_supermarket_sales___Sheet13[[#This Row],[Cost Price]]</f>
        <v>8.4249999999999972</v>
      </c>
    </row>
    <row r="949" spans="1:6" x14ac:dyDescent="0.35">
      <c r="A949" s="3" t="s">
        <v>6</v>
      </c>
      <c r="B949" s="27">
        <v>53.78</v>
      </c>
      <c r="C949" s="1">
        <v>1</v>
      </c>
      <c r="D949" s="31">
        <f>Table_supermarket_sales___Sheet1[[#This Row],[Cost Price]]+Table57[[#This Row],[Markup Cost]]</f>
        <v>56.469000000000001</v>
      </c>
      <c r="E949" s="1">
        <v>1</v>
      </c>
      <c r="F949" s="20">
        <f>Table_supermarket_sales___Sheet13[[#This Row],[Selling Price]]-Table_supermarket_sales___Sheet13[[#This Row],[Cost Price]]</f>
        <v>2.6890000000000001</v>
      </c>
    </row>
    <row r="950" spans="1:6" x14ac:dyDescent="0.35">
      <c r="A950" s="3" t="s">
        <v>3</v>
      </c>
      <c r="B950" s="27">
        <v>35.81</v>
      </c>
      <c r="C950" s="1">
        <v>5</v>
      </c>
      <c r="D950" s="31">
        <f>Table_supermarket_sales___Sheet1[[#This Row],[Cost Price]]+Table57[[#This Row],[Markup Cost]]</f>
        <v>44.762500000000003</v>
      </c>
      <c r="E950" s="4">
        <v>5</v>
      </c>
      <c r="F950" s="20">
        <f>Table_supermarket_sales___Sheet13[[#This Row],[Selling Price]]-Table_supermarket_sales___Sheet13[[#This Row],[Cost Price]]</f>
        <v>8.9525000000000006</v>
      </c>
    </row>
    <row r="951" spans="1:6" x14ac:dyDescent="0.35">
      <c r="A951" s="3" t="s">
        <v>5</v>
      </c>
      <c r="B951" s="27">
        <v>26.43</v>
      </c>
      <c r="C951" s="1">
        <v>8</v>
      </c>
      <c r="D951" s="31">
        <f>Table_supermarket_sales___Sheet1[[#This Row],[Cost Price]]+Table57[[#This Row],[Markup Cost]]</f>
        <v>37.001999999999995</v>
      </c>
      <c r="E951" s="1">
        <v>8</v>
      </c>
      <c r="F951" s="20">
        <f>Table_supermarket_sales___Sheet13[[#This Row],[Selling Price]]-Table_supermarket_sales___Sheet13[[#This Row],[Cost Price]]</f>
        <v>10.571999999999996</v>
      </c>
    </row>
    <row r="952" spans="1:6" x14ac:dyDescent="0.35">
      <c r="A952" s="3" t="s">
        <v>1</v>
      </c>
      <c r="B952" s="27">
        <v>39.909999999999997</v>
      </c>
      <c r="C952" s="1">
        <v>3</v>
      </c>
      <c r="D952" s="31">
        <f>Table_supermarket_sales___Sheet1[[#This Row],[Cost Price]]+Table57[[#This Row],[Markup Cost]]</f>
        <v>45.896499999999996</v>
      </c>
      <c r="E952" s="4">
        <v>3</v>
      </c>
      <c r="F952" s="20">
        <f>Table_supermarket_sales___Sheet13[[#This Row],[Selling Price]]-Table_supermarket_sales___Sheet13[[#This Row],[Cost Price]]</f>
        <v>5.9864999999999995</v>
      </c>
    </row>
    <row r="953" spans="1:6" x14ac:dyDescent="0.35">
      <c r="A953" s="3" t="s">
        <v>3</v>
      </c>
      <c r="B953" s="27">
        <v>21.9</v>
      </c>
      <c r="C953" s="1">
        <v>3</v>
      </c>
      <c r="D953" s="31">
        <f>Table_supermarket_sales___Sheet1[[#This Row],[Cost Price]]+Table57[[#This Row],[Markup Cost]]</f>
        <v>25.184999999999999</v>
      </c>
      <c r="E953" s="1">
        <v>3</v>
      </c>
      <c r="F953" s="20">
        <f>Table_supermarket_sales___Sheet13[[#This Row],[Selling Price]]-Table_supermarket_sales___Sheet13[[#This Row],[Cost Price]]</f>
        <v>3.2850000000000001</v>
      </c>
    </row>
    <row r="954" spans="1:6" x14ac:dyDescent="0.35">
      <c r="A954" s="3" t="s">
        <v>5</v>
      </c>
      <c r="B954" s="27">
        <v>62.85</v>
      </c>
      <c r="C954" s="1">
        <v>4</v>
      </c>
      <c r="D954" s="31">
        <f>Table_supermarket_sales___Sheet1[[#This Row],[Cost Price]]+Table57[[#This Row],[Markup Cost]]</f>
        <v>75.42</v>
      </c>
      <c r="E954" s="4">
        <v>4</v>
      </c>
      <c r="F954" s="20">
        <f>Table_supermarket_sales___Sheet13[[#This Row],[Selling Price]]-Table_supermarket_sales___Sheet13[[#This Row],[Cost Price]]</f>
        <v>12.57</v>
      </c>
    </row>
    <row r="955" spans="1:6" x14ac:dyDescent="0.35">
      <c r="A955" s="3" t="s">
        <v>5</v>
      </c>
      <c r="B955" s="27">
        <v>21.04</v>
      </c>
      <c r="C955" s="1">
        <v>4</v>
      </c>
      <c r="D955" s="31">
        <f>Table_supermarket_sales___Sheet1[[#This Row],[Cost Price]]+Table57[[#This Row],[Markup Cost]]</f>
        <v>25.247999999999998</v>
      </c>
      <c r="E955" s="1">
        <v>4</v>
      </c>
      <c r="F955" s="20">
        <f>Table_supermarket_sales___Sheet13[[#This Row],[Selling Price]]-Table_supermarket_sales___Sheet13[[#This Row],[Cost Price]]</f>
        <v>4.2079999999999984</v>
      </c>
    </row>
    <row r="956" spans="1:6" x14ac:dyDescent="0.35">
      <c r="A956" s="3" t="s">
        <v>3</v>
      </c>
      <c r="B956" s="27">
        <v>65.91</v>
      </c>
      <c r="C956" s="1">
        <v>6</v>
      </c>
      <c r="D956" s="31">
        <f>Table_supermarket_sales___Sheet1[[#This Row],[Cost Price]]+Table57[[#This Row],[Markup Cost]]</f>
        <v>85.682999999999993</v>
      </c>
      <c r="E956" s="4">
        <v>6</v>
      </c>
      <c r="F956" s="20">
        <f>Table_supermarket_sales___Sheet13[[#This Row],[Selling Price]]-Table_supermarket_sales___Sheet13[[#This Row],[Cost Price]]</f>
        <v>19.772999999999996</v>
      </c>
    </row>
    <row r="957" spans="1:6" x14ac:dyDescent="0.35">
      <c r="A957" s="3" t="s">
        <v>6</v>
      </c>
      <c r="B957" s="27">
        <v>42.57</v>
      </c>
      <c r="C957" s="1">
        <v>7</v>
      </c>
      <c r="D957" s="31">
        <f>Table_supermarket_sales___Sheet1[[#This Row],[Cost Price]]+Table57[[#This Row],[Markup Cost]]</f>
        <v>57.469499999999996</v>
      </c>
      <c r="E957" s="1">
        <v>7</v>
      </c>
      <c r="F957" s="20">
        <f>Table_supermarket_sales___Sheet13[[#This Row],[Selling Price]]-Table_supermarket_sales___Sheet13[[#This Row],[Cost Price]]</f>
        <v>14.899499999999996</v>
      </c>
    </row>
    <row r="958" spans="1:6" x14ac:dyDescent="0.35">
      <c r="A958" s="3" t="s">
        <v>5</v>
      </c>
      <c r="B958" s="27">
        <v>50.49</v>
      </c>
      <c r="C958" s="1">
        <v>9</v>
      </c>
      <c r="D958" s="31">
        <f>Table_supermarket_sales___Sheet1[[#This Row],[Cost Price]]+Table57[[#This Row],[Markup Cost]]</f>
        <v>73.210499999999996</v>
      </c>
      <c r="E958" s="4">
        <v>9</v>
      </c>
      <c r="F958" s="20">
        <f>Table_supermarket_sales___Sheet13[[#This Row],[Selling Price]]-Table_supermarket_sales___Sheet13[[#This Row],[Cost Price]]</f>
        <v>22.720499999999994</v>
      </c>
    </row>
    <row r="959" spans="1:6" x14ac:dyDescent="0.35">
      <c r="A959" s="3" t="s">
        <v>2</v>
      </c>
      <c r="B959" s="27">
        <v>46.02</v>
      </c>
      <c r="C959" s="1">
        <v>6</v>
      </c>
      <c r="D959" s="31">
        <f>Table_supermarket_sales___Sheet1[[#This Row],[Cost Price]]+Table57[[#This Row],[Markup Cost]]</f>
        <v>59.826000000000001</v>
      </c>
      <c r="E959" s="1">
        <v>6</v>
      </c>
      <c r="F959" s="20">
        <f>Table_supermarket_sales___Sheet13[[#This Row],[Selling Price]]-Table_supermarket_sales___Sheet13[[#This Row],[Cost Price]]</f>
        <v>13.805999999999997</v>
      </c>
    </row>
    <row r="960" spans="1:6" x14ac:dyDescent="0.35">
      <c r="A960" s="3" t="s">
        <v>3</v>
      </c>
      <c r="B960" s="27">
        <v>15.8</v>
      </c>
      <c r="C960" s="1">
        <v>10</v>
      </c>
      <c r="D960" s="31">
        <f>Table_supermarket_sales___Sheet1[[#This Row],[Cost Price]]+Table57[[#This Row],[Markup Cost]]</f>
        <v>23.700000000000003</v>
      </c>
      <c r="E960" s="4">
        <v>10</v>
      </c>
      <c r="F960" s="20">
        <f>Table_supermarket_sales___Sheet13[[#This Row],[Selling Price]]-Table_supermarket_sales___Sheet13[[#This Row],[Cost Price]]</f>
        <v>7.9000000000000021</v>
      </c>
    </row>
    <row r="961" spans="1:6" x14ac:dyDescent="0.35">
      <c r="A961" s="3" t="s">
        <v>5</v>
      </c>
      <c r="B961" s="27">
        <v>98.66</v>
      </c>
      <c r="C961" s="1">
        <v>9</v>
      </c>
      <c r="D961" s="31">
        <f>Table_supermarket_sales___Sheet1[[#This Row],[Cost Price]]+Table57[[#This Row],[Markup Cost]]</f>
        <v>143.05699999999999</v>
      </c>
      <c r="E961" s="1">
        <v>9</v>
      </c>
      <c r="F961" s="20">
        <f>Table_supermarket_sales___Sheet13[[#This Row],[Selling Price]]-Table_supermarket_sales___Sheet13[[#This Row],[Cost Price]]</f>
        <v>44.396999999999991</v>
      </c>
    </row>
    <row r="962" spans="1:6" x14ac:dyDescent="0.35">
      <c r="A962" s="3" t="s">
        <v>6</v>
      </c>
      <c r="B962" s="27">
        <v>91.98</v>
      </c>
      <c r="C962" s="1">
        <v>1</v>
      </c>
      <c r="D962" s="31">
        <f>Table_supermarket_sales___Sheet1[[#This Row],[Cost Price]]+Table57[[#This Row],[Markup Cost]]</f>
        <v>96.579000000000008</v>
      </c>
      <c r="E962" s="4">
        <v>1</v>
      </c>
      <c r="F962" s="20">
        <f>Table_supermarket_sales___Sheet13[[#This Row],[Selling Price]]-Table_supermarket_sales___Sheet13[[#This Row],[Cost Price]]</f>
        <v>4.5990000000000038</v>
      </c>
    </row>
    <row r="963" spans="1:6" x14ac:dyDescent="0.35">
      <c r="A963" s="3" t="s">
        <v>2</v>
      </c>
      <c r="B963" s="27">
        <v>20.89</v>
      </c>
      <c r="C963" s="1">
        <v>2</v>
      </c>
      <c r="D963" s="31">
        <f>Table_supermarket_sales___Sheet1[[#This Row],[Cost Price]]+Table57[[#This Row],[Markup Cost]]</f>
        <v>22.978999999999999</v>
      </c>
      <c r="E963" s="1">
        <v>2</v>
      </c>
      <c r="F963" s="20">
        <f>Table_supermarket_sales___Sheet13[[#This Row],[Selling Price]]-Table_supermarket_sales___Sheet13[[#This Row],[Cost Price]]</f>
        <v>2.0889999999999986</v>
      </c>
    </row>
    <row r="964" spans="1:6" x14ac:dyDescent="0.35">
      <c r="A964" s="3" t="s">
        <v>6</v>
      </c>
      <c r="B964" s="27">
        <v>15.5</v>
      </c>
      <c r="C964" s="1">
        <v>1</v>
      </c>
      <c r="D964" s="31">
        <f>Table_supermarket_sales___Sheet1[[#This Row],[Cost Price]]+Table57[[#This Row],[Markup Cost]]</f>
        <v>16.274999999999999</v>
      </c>
      <c r="E964" s="4">
        <v>1</v>
      </c>
      <c r="F964" s="20">
        <f>Table_supermarket_sales___Sheet13[[#This Row],[Selling Price]]-Table_supermarket_sales___Sheet13[[#This Row],[Cost Price]]</f>
        <v>0.77499999999999858</v>
      </c>
    </row>
    <row r="965" spans="1:6" x14ac:dyDescent="0.35">
      <c r="A965" s="3" t="s">
        <v>2</v>
      </c>
      <c r="B965" s="27">
        <v>96.82</v>
      </c>
      <c r="C965" s="1">
        <v>3</v>
      </c>
      <c r="D965" s="31">
        <f>Table_supermarket_sales___Sheet1[[#This Row],[Cost Price]]+Table57[[#This Row],[Markup Cost]]</f>
        <v>111.34299999999999</v>
      </c>
      <c r="E965" s="1">
        <v>3</v>
      </c>
      <c r="F965" s="20">
        <f>Table_supermarket_sales___Sheet13[[#This Row],[Selling Price]]-Table_supermarket_sales___Sheet13[[#This Row],[Cost Price]]</f>
        <v>14.522999999999996</v>
      </c>
    </row>
    <row r="966" spans="1:6" x14ac:dyDescent="0.35">
      <c r="A966" s="3" t="s">
        <v>5</v>
      </c>
      <c r="B966" s="27">
        <v>33.33</v>
      </c>
      <c r="C966" s="1">
        <v>2</v>
      </c>
      <c r="D966" s="31">
        <f>Table_supermarket_sales___Sheet1[[#This Row],[Cost Price]]+Table57[[#This Row],[Markup Cost]]</f>
        <v>36.662999999999997</v>
      </c>
      <c r="E966" s="4">
        <v>2</v>
      </c>
      <c r="F966" s="20">
        <f>Table_supermarket_sales___Sheet13[[#This Row],[Selling Price]]-Table_supermarket_sales___Sheet13[[#This Row],[Cost Price]]</f>
        <v>3.3329999999999984</v>
      </c>
    </row>
    <row r="967" spans="1:6" x14ac:dyDescent="0.35">
      <c r="A967" s="3" t="s">
        <v>2</v>
      </c>
      <c r="B967" s="27">
        <v>38.270000000000003</v>
      </c>
      <c r="C967" s="1">
        <v>2</v>
      </c>
      <c r="D967" s="31">
        <f>Table_supermarket_sales___Sheet1[[#This Row],[Cost Price]]+Table57[[#This Row],[Markup Cost]]</f>
        <v>42.097000000000001</v>
      </c>
      <c r="E967" s="1">
        <v>2</v>
      </c>
      <c r="F967" s="20">
        <f>Table_supermarket_sales___Sheet13[[#This Row],[Selling Price]]-Table_supermarket_sales___Sheet13[[#This Row],[Cost Price]]</f>
        <v>3.8269999999999982</v>
      </c>
    </row>
    <row r="968" spans="1:6" x14ac:dyDescent="0.35">
      <c r="A968" s="3" t="s">
        <v>3</v>
      </c>
      <c r="B968" s="27">
        <v>33.299999999999997</v>
      </c>
      <c r="C968" s="1">
        <v>9</v>
      </c>
      <c r="D968" s="31">
        <f>Table_supermarket_sales___Sheet1[[#This Row],[Cost Price]]+Table57[[#This Row],[Markup Cost]]</f>
        <v>48.284999999999997</v>
      </c>
      <c r="E968" s="4">
        <v>9</v>
      </c>
      <c r="F968" s="20">
        <f>Table_supermarket_sales___Sheet13[[#This Row],[Selling Price]]-Table_supermarket_sales___Sheet13[[#This Row],[Cost Price]]</f>
        <v>14.984999999999999</v>
      </c>
    </row>
    <row r="969" spans="1:6" x14ac:dyDescent="0.35">
      <c r="A969" s="3" t="s">
        <v>3</v>
      </c>
      <c r="B969" s="27">
        <v>81.010000000000005</v>
      </c>
      <c r="C969" s="1">
        <v>3</v>
      </c>
      <c r="D969" s="31">
        <f>Table_supermarket_sales___Sheet1[[#This Row],[Cost Price]]+Table57[[#This Row],[Markup Cost]]</f>
        <v>93.161500000000004</v>
      </c>
      <c r="E969" s="1">
        <v>3</v>
      </c>
      <c r="F969" s="20">
        <f>Table_supermarket_sales___Sheet13[[#This Row],[Selling Price]]-Table_supermarket_sales___Sheet13[[#This Row],[Cost Price]]</f>
        <v>12.151499999999999</v>
      </c>
    </row>
    <row r="970" spans="1:6" x14ac:dyDescent="0.35">
      <c r="A970" s="3" t="s">
        <v>1</v>
      </c>
      <c r="B970" s="27">
        <v>15.8</v>
      </c>
      <c r="C970" s="1">
        <v>3</v>
      </c>
      <c r="D970" s="31">
        <f>Table_supermarket_sales___Sheet1[[#This Row],[Cost Price]]+Table57[[#This Row],[Markup Cost]]</f>
        <v>18.170000000000002</v>
      </c>
      <c r="E970" s="4">
        <v>3</v>
      </c>
      <c r="F970" s="20">
        <f>Table_supermarket_sales___Sheet13[[#This Row],[Selling Price]]-Table_supermarket_sales___Sheet13[[#This Row],[Cost Price]]</f>
        <v>2.370000000000001</v>
      </c>
    </row>
    <row r="971" spans="1:6" x14ac:dyDescent="0.35">
      <c r="A971" s="3" t="s">
        <v>2</v>
      </c>
      <c r="B971" s="27">
        <v>34.49</v>
      </c>
      <c r="C971" s="1">
        <v>5</v>
      </c>
      <c r="D971" s="31">
        <f>Table_supermarket_sales___Sheet1[[#This Row],[Cost Price]]+Table57[[#This Row],[Markup Cost]]</f>
        <v>43.112500000000004</v>
      </c>
      <c r="E971" s="1">
        <v>5</v>
      </c>
      <c r="F971" s="20">
        <f>Table_supermarket_sales___Sheet13[[#This Row],[Selling Price]]-Table_supermarket_sales___Sheet13[[#This Row],[Cost Price]]</f>
        <v>8.6225000000000023</v>
      </c>
    </row>
    <row r="972" spans="1:6" x14ac:dyDescent="0.35">
      <c r="A972" s="3" t="s">
        <v>5</v>
      </c>
      <c r="B972" s="27">
        <v>84.63</v>
      </c>
      <c r="C972" s="1">
        <v>10</v>
      </c>
      <c r="D972" s="31">
        <f>Table_supermarket_sales___Sheet1[[#This Row],[Cost Price]]+Table57[[#This Row],[Markup Cost]]</f>
        <v>126.94499999999999</v>
      </c>
      <c r="E972" s="4">
        <v>10</v>
      </c>
      <c r="F972" s="20">
        <f>Table_supermarket_sales___Sheet13[[#This Row],[Selling Price]]-Table_supermarket_sales___Sheet13[[#This Row],[Cost Price]]</f>
        <v>42.314999999999998</v>
      </c>
    </row>
    <row r="973" spans="1:6" x14ac:dyDescent="0.35">
      <c r="A973" s="3" t="s">
        <v>3</v>
      </c>
      <c r="B973" s="27">
        <v>36.909999999999997</v>
      </c>
      <c r="C973" s="1">
        <v>7</v>
      </c>
      <c r="D973" s="31">
        <f>Table_supermarket_sales___Sheet1[[#This Row],[Cost Price]]+Table57[[#This Row],[Markup Cost]]</f>
        <v>49.828499999999998</v>
      </c>
      <c r="E973" s="1">
        <v>7</v>
      </c>
      <c r="F973" s="20">
        <f>Table_supermarket_sales___Sheet13[[#This Row],[Selling Price]]-Table_supermarket_sales___Sheet13[[#This Row],[Cost Price]]</f>
        <v>12.918500000000002</v>
      </c>
    </row>
    <row r="974" spans="1:6" x14ac:dyDescent="0.35">
      <c r="A974" s="3" t="s">
        <v>2</v>
      </c>
      <c r="B974" s="27">
        <v>87.08</v>
      </c>
      <c r="C974" s="1">
        <v>7</v>
      </c>
      <c r="D974" s="31">
        <f>Table_supermarket_sales___Sheet1[[#This Row],[Cost Price]]+Table57[[#This Row],[Markup Cost]]</f>
        <v>117.55799999999999</v>
      </c>
      <c r="E974" s="4">
        <v>7</v>
      </c>
      <c r="F974" s="20">
        <f>Table_supermarket_sales___Sheet13[[#This Row],[Selling Price]]-Table_supermarket_sales___Sheet13[[#This Row],[Cost Price]]</f>
        <v>30.477999999999994</v>
      </c>
    </row>
    <row r="975" spans="1:6" x14ac:dyDescent="0.35">
      <c r="A975" s="3" t="s">
        <v>3</v>
      </c>
      <c r="B975" s="27">
        <v>80.08</v>
      </c>
      <c r="C975" s="1">
        <v>3</v>
      </c>
      <c r="D975" s="31">
        <f>Table_supermarket_sales___Sheet1[[#This Row],[Cost Price]]+Table57[[#This Row],[Markup Cost]]</f>
        <v>92.091999999999999</v>
      </c>
      <c r="E975" s="1">
        <v>3</v>
      </c>
      <c r="F975" s="20">
        <f>Table_supermarket_sales___Sheet13[[#This Row],[Selling Price]]-Table_supermarket_sales___Sheet13[[#This Row],[Cost Price]]</f>
        <v>12.012</v>
      </c>
    </row>
    <row r="976" spans="1:6" x14ac:dyDescent="0.35">
      <c r="A976" s="3" t="s">
        <v>6</v>
      </c>
      <c r="B976" s="27">
        <v>86.13</v>
      </c>
      <c r="C976" s="1">
        <v>2</v>
      </c>
      <c r="D976" s="31">
        <f>Table_supermarket_sales___Sheet1[[#This Row],[Cost Price]]+Table57[[#This Row],[Markup Cost]]</f>
        <v>94.742999999999995</v>
      </c>
      <c r="E976" s="4">
        <v>2</v>
      </c>
      <c r="F976" s="20">
        <f>Table_supermarket_sales___Sheet13[[#This Row],[Selling Price]]-Table_supermarket_sales___Sheet13[[#This Row],[Cost Price]]</f>
        <v>8.6129999999999995</v>
      </c>
    </row>
    <row r="977" spans="1:6" x14ac:dyDescent="0.35">
      <c r="A977" s="3" t="s">
        <v>6</v>
      </c>
      <c r="B977" s="27">
        <v>49.92</v>
      </c>
      <c r="C977" s="1">
        <v>2</v>
      </c>
      <c r="D977" s="31">
        <f>Table_supermarket_sales___Sheet1[[#This Row],[Cost Price]]+Table57[[#This Row],[Markup Cost]]</f>
        <v>54.911999999999999</v>
      </c>
      <c r="E977" s="1">
        <v>2</v>
      </c>
      <c r="F977" s="20">
        <f>Table_supermarket_sales___Sheet13[[#This Row],[Selling Price]]-Table_supermarket_sales___Sheet13[[#This Row],[Cost Price]]</f>
        <v>4.9919999999999973</v>
      </c>
    </row>
    <row r="978" spans="1:6" x14ac:dyDescent="0.35">
      <c r="A978" s="3" t="s">
        <v>5</v>
      </c>
      <c r="B978" s="27">
        <v>74.66</v>
      </c>
      <c r="C978" s="1">
        <v>4</v>
      </c>
      <c r="D978" s="31">
        <f>Table_supermarket_sales___Sheet1[[#This Row],[Cost Price]]+Table57[[#This Row],[Markup Cost]]</f>
        <v>89.591999999999999</v>
      </c>
      <c r="E978" s="4">
        <v>4</v>
      </c>
      <c r="F978" s="20">
        <f>Table_supermarket_sales___Sheet13[[#This Row],[Selling Price]]-Table_supermarket_sales___Sheet13[[#This Row],[Cost Price]]</f>
        <v>14.932000000000002</v>
      </c>
    </row>
    <row r="979" spans="1:6" x14ac:dyDescent="0.35">
      <c r="A979" s="3" t="s">
        <v>5</v>
      </c>
      <c r="B979" s="27">
        <v>26.6</v>
      </c>
      <c r="C979" s="1">
        <v>6</v>
      </c>
      <c r="D979" s="31">
        <f>Table_supermarket_sales___Sheet1[[#This Row],[Cost Price]]+Table57[[#This Row],[Markup Cost]]</f>
        <v>34.58</v>
      </c>
      <c r="E979" s="1">
        <v>6</v>
      </c>
      <c r="F979" s="20">
        <f>Table_supermarket_sales___Sheet13[[#This Row],[Selling Price]]-Table_supermarket_sales___Sheet13[[#This Row],[Cost Price]]</f>
        <v>7.9799999999999969</v>
      </c>
    </row>
    <row r="980" spans="1:6" x14ac:dyDescent="0.35">
      <c r="A980" s="3" t="s">
        <v>2</v>
      </c>
      <c r="B980" s="27">
        <v>25.45</v>
      </c>
      <c r="C980" s="1">
        <v>1</v>
      </c>
      <c r="D980" s="31">
        <f>Table_supermarket_sales___Sheet1[[#This Row],[Cost Price]]+Table57[[#This Row],[Markup Cost]]</f>
        <v>26.7225</v>
      </c>
      <c r="E980" s="4">
        <v>1</v>
      </c>
      <c r="F980" s="20">
        <f>Table_supermarket_sales___Sheet13[[#This Row],[Selling Price]]-Table_supermarket_sales___Sheet13[[#This Row],[Cost Price]]</f>
        <v>1.2725000000000009</v>
      </c>
    </row>
    <row r="981" spans="1:6" x14ac:dyDescent="0.35">
      <c r="A981" s="3" t="s">
        <v>5</v>
      </c>
      <c r="B981" s="27">
        <v>67.77</v>
      </c>
      <c r="C981" s="1">
        <v>1</v>
      </c>
      <c r="D981" s="31">
        <f>Table_supermarket_sales___Sheet1[[#This Row],[Cost Price]]+Table57[[#This Row],[Markup Cost]]</f>
        <v>71.158499999999989</v>
      </c>
      <c r="E981" s="1">
        <v>1</v>
      </c>
      <c r="F981" s="20">
        <f>Table_supermarket_sales___Sheet13[[#This Row],[Selling Price]]-Table_supermarket_sales___Sheet13[[#This Row],[Cost Price]]</f>
        <v>3.3884999999999934</v>
      </c>
    </row>
    <row r="982" spans="1:6" x14ac:dyDescent="0.35">
      <c r="A982" s="3" t="s">
        <v>5</v>
      </c>
      <c r="B982" s="27">
        <v>59.59</v>
      </c>
      <c r="C982" s="1">
        <v>4</v>
      </c>
      <c r="D982" s="31">
        <f>Table_supermarket_sales___Sheet1[[#This Row],[Cost Price]]+Table57[[#This Row],[Markup Cost]]</f>
        <v>71.50800000000001</v>
      </c>
      <c r="E982" s="4">
        <v>4</v>
      </c>
      <c r="F982" s="20">
        <f>Table_supermarket_sales___Sheet13[[#This Row],[Selling Price]]-Table_supermarket_sales___Sheet13[[#This Row],[Cost Price]]</f>
        <v>11.918000000000006</v>
      </c>
    </row>
    <row r="983" spans="1:6" x14ac:dyDescent="0.35">
      <c r="A983" s="3" t="s">
        <v>1</v>
      </c>
      <c r="B983" s="27">
        <v>58.15</v>
      </c>
      <c r="C983" s="1">
        <v>4</v>
      </c>
      <c r="D983" s="31">
        <f>Table_supermarket_sales___Sheet1[[#This Row],[Cost Price]]+Table57[[#This Row],[Markup Cost]]</f>
        <v>69.78</v>
      </c>
      <c r="E983" s="1">
        <v>4</v>
      </c>
      <c r="F983" s="20">
        <f>Table_supermarket_sales___Sheet13[[#This Row],[Selling Price]]-Table_supermarket_sales___Sheet13[[#This Row],[Cost Price]]</f>
        <v>11.630000000000003</v>
      </c>
    </row>
    <row r="984" spans="1:6" x14ac:dyDescent="0.35">
      <c r="A984" s="3" t="s">
        <v>4</v>
      </c>
      <c r="B984" s="27">
        <v>97.48</v>
      </c>
      <c r="C984" s="1">
        <v>9</v>
      </c>
      <c r="D984" s="31">
        <f>Table_supermarket_sales___Sheet1[[#This Row],[Cost Price]]+Table57[[#This Row],[Markup Cost]]</f>
        <v>141.346</v>
      </c>
      <c r="E984" s="4">
        <v>9</v>
      </c>
      <c r="F984" s="20">
        <f>Table_supermarket_sales___Sheet13[[#This Row],[Selling Price]]-Table_supermarket_sales___Sheet13[[#This Row],[Cost Price]]</f>
        <v>43.866</v>
      </c>
    </row>
    <row r="985" spans="1:6" x14ac:dyDescent="0.35">
      <c r="A985" s="3" t="s">
        <v>1</v>
      </c>
      <c r="B985" s="27">
        <v>99.96</v>
      </c>
      <c r="C985" s="1">
        <v>7</v>
      </c>
      <c r="D985" s="31">
        <f>Table_supermarket_sales___Sheet1[[#This Row],[Cost Price]]+Table57[[#This Row],[Markup Cost]]</f>
        <v>134.946</v>
      </c>
      <c r="E985" s="1">
        <v>7</v>
      </c>
      <c r="F985" s="20">
        <f>Table_supermarket_sales___Sheet13[[#This Row],[Selling Price]]-Table_supermarket_sales___Sheet13[[#This Row],[Cost Price]]</f>
        <v>34.986000000000004</v>
      </c>
    </row>
    <row r="986" spans="1:6" x14ac:dyDescent="0.35">
      <c r="A986" s="3" t="s">
        <v>2</v>
      </c>
      <c r="B986" s="27">
        <v>96.37</v>
      </c>
      <c r="C986" s="1">
        <v>7</v>
      </c>
      <c r="D986" s="31">
        <f>Table_supermarket_sales___Sheet1[[#This Row],[Cost Price]]+Table57[[#This Row],[Markup Cost]]</f>
        <v>130.09950000000001</v>
      </c>
      <c r="E986" s="4">
        <v>7</v>
      </c>
      <c r="F986" s="20">
        <f>Table_supermarket_sales___Sheet13[[#This Row],[Selling Price]]-Table_supermarket_sales___Sheet13[[#This Row],[Cost Price]]</f>
        <v>33.729500000000002</v>
      </c>
    </row>
    <row r="987" spans="1:6" x14ac:dyDescent="0.35">
      <c r="A987" s="3" t="s">
        <v>6</v>
      </c>
      <c r="B987" s="27">
        <v>63.71</v>
      </c>
      <c r="C987" s="1">
        <v>5</v>
      </c>
      <c r="D987" s="31">
        <f>Table_supermarket_sales___Sheet1[[#This Row],[Cost Price]]+Table57[[#This Row],[Markup Cost]]</f>
        <v>79.637500000000003</v>
      </c>
      <c r="E987" s="1">
        <v>5</v>
      </c>
      <c r="F987" s="20">
        <f>Table_supermarket_sales___Sheet13[[#This Row],[Selling Price]]-Table_supermarket_sales___Sheet13[[#This Row],[Cost Price]]</f>
        <v>15.927500000000002</v>
      </c>
    </row>
    <row r="988" spans="1:6" x14ac:dyDescent="0.35">
      <c r="A988" s="3" t="s">
        <v>1</v>
      </c>
      <c r="B988" s="27">
        <v>14.76</v>
      </c>
      <c r="C988" s="1">
        <v>2</v>
      </c>
      <c r="D988" s="31">
        <f>Table_supermarket_sales___Sheet1[[#This Row],[Cost Price]]+Table57[[#This Row],[Markup Cost]]</f>
        <v>16.236000000000001</v>
      </c>
      <c r="E988" s="4">
        <v>2</v>
      </c>
      <c r="F988" s="20">
        <f>Table_supermarket_sales___Sheet13[[#This Row],[Selling Price]]-Table_supermarket_sales___Sheet13[[#This Row],[Cost Price]]</f>
        <v>1.4760000000000009</v>
      </c>
    </row>
    <row r="989" spans="1:6" x14ac:dyDescent="0.35">
      <c r="A989" s="3" t="s">
        <v>1</v>
      </c>
      <c r="B989" s="27">
        <v>62</v>
      </c>
      <c r="C989" s="1">
        <v>8</v>
      </c>
      <c r="D989" s="31">
        <f>Table_supermarket_sales___Sheet1[[#This Row],[Cost Price]]+Table57[[#This Row],[Markup Cost]]</f>
        <v>86.8</v>
      </c>
      <c r="E989" s="1">
        <v>8</v>
      </c>
      <c r="F989" s="20">
        <f>Table_supermarket_sales___Sheet13[[#This Row],[Selling Price]]-Table_supermarket_sales___Sheet13[[#This Row],[Cost Price]]</f>
        <v>24.799999999999997</v>
      </c>
    </row>
    <row r="990" spans="1:6" x14ac:dyDescent="0.35">
      <c r="A990" s="3" t="s">
        <v>2</v>
      </c>
      <c r="B990" s="27">
        <v>82.34</v>
      </c>
      <c r="C990" s="1">
        <v>10</v>
      </c>
      <c r="D990" s="31">
        <f>Table_supermarket_sales___Sheet1[[#This Row],[Cost Price]]+Table57[[#This Row],[Markup Cost]]</f>
        <v>123.51</v>
      </c>
      <c r="E990" s="4">
        <v>10</v>
      </c>
      <c r="F990" s="20">
        <f>Table_supermarket_sales___Sheet13[[#This Row],[Selling Price]]-Table_supermarket_sales___Sheet13[[#This Row],[Cost Price]]</f>
        <v>41.17</v>
      </c>
    </row>
    <row r="991" spans="1:6" x14ac:dyDescent="0.35">
      <c r="A991" s="3" t="s">
        <v>1</v>
      </c>
      <c r="B991" s="27">
        <v>75.37</v>
      </c>
      <c r="C991" s="1">
        <v>8</v>
      </c>
      <c r="D991" s="31">
        <f>Table_supermarket_sales___Sheet1[[#This Row],[Cost Price]]+Table57[[#This Row],[Markup Cost]]</f>
        <v>105.518</v>
      </c>
      <c r="E991" s="1">
        <v>8</v>
      </c>
      <c r="F991" s="20">
        <f>Table_supermarket_sales___Sheet13[[#This Row],[Selling Price]]-Table_supermarket_sales___Sheet13[[#This Row],[Cost Price]]</f>
        <v>30.147999999999996</v>
      </c>
    </row>
    <row r="992" spans="1:6" x14ac:dyDescent="0.35">
      <c r="A992" s="3" t="s">
        <v>5</v>
      </c>
      <c r="B992" s="27">
        <v>56.56</v>
      </c>
      <c r="C992" s="1">
        <v>5</v>
      </c>
      <c r="D992" s="31">
        <f>Table_supermarket_sales___Sheet1[[#This Row],[Cost Price]]+Table57[[#This Row],[Markup Cost]]</f>
        <v>70.7</v>
      </c>
      <c r="E992" s="4">
        <v>5</v>
      </c>
      <c r="F992" s="20">
        <f>Table_supermarket_sales___Sheet13[[#This Row],[Selling Price]]-Table_supermarket_sales___Sheet13[[#This Row],[Cost Price]]</f>
        <v>14.14</v>
      </c>
    </row>
    <row r="993" spans="1:6" x14ac:dyDescent="0.35">
      <c r="A993" s="3" t="s">
        <v>4</v>
      </c>
      <c r="B993" s="27">
        <v>76.599999999999994</v>
      </c>
      <c r="C993" s="1">
        <v>10</v>
      </c>
      <c r="D993" s="31">
        <f>Table_supermarket_sales___Sheet1[[#This Row],[Cost Price]]+Table57[[#This Row],[Markup Cost]]</f>
        <v>114.89999999999999</v>
      </c>
      <c r="E993" s="1">
        <v>10</v>
      </c>
      <c r="F993" s="20">
        <f>Table_supermarket_sales___Sheet13[[#This Row],[Selling Price]]-Table_supermarket_sales___Sheet13[[#This Row],[Cost Price]]</f>
        <v>38.299999999999997</v>
      </c>
    </row>
    <row r="994" spans="1:6" x14ac:dyDescent="0.35">
      <c r="A994" s="3" t="s">
        <v>2</v>
      </c>
      <c r="B994" s="27">
        <v>58.03</v>
      </c>
      <c r="C994" s="1">
        <v>2</v>
      </c>
      <c r="D994" s="31">
        <f>Table_supermarket_sales___Sheet1[[#This Row],[Cost Price]]+Table57[[#This Row],[Markup Cost]]</f>
        <v>63.832999999999998</v>
      </c>
      <c r="E994" s="4">
        <v>2</v>
      </c>
      <c r="F994" s="20">
        <f>Table_supermarket_sales___Sheet13[[#This Row],[Selling Price]]-Table_supermarket_sales___Sheet13[[#This Row],[Cost Price]]</f>
        <v>5.8029999999999973</v>
      </c>
    </row>
    <row r="995" spans="1:6" x14ac:dyDescent="0.35">
      <c r="A995" s="3" t="s">
        <v>6</v>
      </c>
      <c r="B995" s="27">
        <v>17.489999999999998</v>
      </c>
      <c r="C995" s="1">
        <v>10</v>
      </c>
      <c r="D995" s="31">
        <f>Table_supermarket_sales___Sheet1[[#This Row],[Cost Price]]+Table57[[#This Row],[Markup Cost]]</f>
        <v>26.234999999999999</v>
      </c>
      <c r="E995" s="1">
        <v>10</v>
      </c>
      <c r="F995" s="20">
        <f>Table_supermarket_sales___Sheet13[[#This Row],[Selling Price]]-Table_supermarket_sales___Sheet13[[#This Row],[Cost Price]]</f>
        <v>8.745000000000001</v>
      </c>
    </row>
    <row r="996" spans="1:6" x14ac:dyDescent="0.35">
      <c r="A996" s="3" t="s">
        <v>2</v>
      </c>
      <c r="B996" s="27">
        <v>60.95</v>
      </c>
      <c r="C996" s="1">
        <v>1</v>
      </c>
      <c r="D996" s="31">
        <f>Table_supermarket_sales___Sheet1[[#This Row],[Cost Price]]+Table57[[#This Row],[Markup Cost]]</f>
        <v>63.997500000000002</v>
      </c>
      <c r="E996" s="4">
        <v>1</v>
      </c>
      <c r="F996" s="20">
        <f>Table_supermarket_sales___Sheet13[[#This Row],[Selling Price]]-Table_supermarket_sales___Sheet13[[#This Row],[Cost Price]]</f>
        <v>3.0474999999999994</v>
      </c>
    </row>
    <row r="997" spans="1:6" x14ac:dyDescent="0.35">
      <c r="A997" s="3" t="s">
        <v>1</v>
      </c>
      <c r="B997" s="27">
        <v>40.35</v>
      </c>
      <c r="C997" s="1">
        <v>1</v>
      </c>
      <c r="D997" s="31">
        <f>Table_supermarket_sales___Sheet1[[#This Row],[Cost Price]]+Table57[[#This Row],[Markup Cost]]</f>
        <v>42.3675</v>
      </c>
      <c r="E997" s="1">
        <v>1</v>
      </c>
      <c r="F997" s="20">
        <f>Table_supermarket_sales___Sheet13[[#This Row],[Selling Price]]-Table_supermarket_sales___Sheet13[[#This Row],[Cost Price]]</f>
        <v>2.0174999999999983</v>
      </c>
    </row>
    <row r="998" spans="1:6" x14ac:dyDescent="0.35">
      <c r="A998" s="3" t="s">
        <v>3</v>
      </c>
      <c r="B998" s="27">
        <v>97.38</v>
      </c>
      <c r="C998" s="1">
        <v>10</v>
      </c>
      <c r="D998" s="31">
        <f>Table_supermarket_sales___Sheet1[[#This Row],[Cost Price]]+Table57[[#This Row],[Markup Cost]]</f>
        <v>146.07</v>
      </c>
      <c r="E998" s="4">
        <v>10</v>
      </c>
      <c r="F998" s="20">
        <f>Table_supermarket_sales___Sheet13[[#This Row],[Selling Price]]-Table_supermarket_sales___Sheet13[[#This Row],[Cost Price]]</f>
        <v>48.69</v>
      </c>
    </row>
    <row r="999" spans="1:6" x14ac:dyDescent="0.35">
      <c r="A999" s="3" t="s">
        <v>5</v>
      </c>
      <c r="B999" s="27">
        <v>31.84</v>
      </c>
      <c r="C999" s="1">
        <v>1</v>
      </c>
      <c r="D999" s="31">
        <f>Table_supermarket_sales___Sheet1[[#This Row],[Cost Price]]+Table57[[#This Row],[Markup Cost]]</f>
        <v>33.432000000000002</v>
      </c>
      <c r="E999" s="1">
        <v>1</v>
      </c>
      <c r="F999" s="20">
        <f>Table_supermarket_sales___Sheet13[[#This Row],[Selling Price]]-Table_supermarket_sales___Sheet13[[#This Row],[Cost Price]]</f>
        <v>1.5920000000000023</v>
      </c>
    </row>
    <row r="1000" spans="1:6" x14ac:dyDescent="0.35">
      <c r="A1000" s="3" t="s">
        <v>3</v>
      </c>
      <c r="B1000" s="27">
        <v>65.819999999999993</v>
      </c>
      <c r="C1000" s="1">
        <v>1</v>
      </c>
      <c r="D1000" s="31">
        <f>Table_supermarket_sales___Sheet1[[#This Row],[Cost Price]]+Table57[[#This Row],[Markup Cost]]</f>
        <v>69.11099999999999</v>
      </c>
      <c r="E1000" s="4">
        <v>1</v>
      </c>
      <c r="F1000" s="20">
        <f>Table_supermarket_sales___Sheet13[[#This Row],[Selling Price]]-Table_supermarket_sales___Sheet13[[#This Row],[Cost Price]]</f>
        <v>3.2909999999999968</v>
      </c>
    </row>
    <row r="1001" spans="1:6" x14ac:dyDescent="0.35">
      <c r="A1001" s="5" t="s">
        <v>6</v>
      </c>
      <c r="B1001" s="28">
        <v>88.34</v>
      </c>
      <c r="C1001" s="1">
        <v>7</v>
      </c>
      <c r="D1001" s="32">
        <f>Table_supermarket_sales___Sheet1[[#This Row],[Cost Price]]+Table57[[#This Row],[Markup Cost]]</f>
        <v>119.259</v>
      </c>
      <c r="E1001" s="1">
        <v>7</v>
      </c>
      <c r="F1001" s="20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BA67-4D51-4AFF-A2EE-F4F130B6A6D1}">
  <sheetPr codeName="Sheet4"/>
  <dimension ref="A4:B15"/>
  <sheetViews>
    <sheetView zoomScale="95" workbookViewId="0">
      <selection activeCell="B44" sqref="B44"/>
    </sheetView>
  </sheetViews>
  <sheetFormatPr defaultRowHeight="14.5" x14ac:dyDescent="0.35"/>
  <cols>
    <col min="1" max="1" width="19.26953125" bestFit="1" customWidth="1"/>
    <col min="2" max="2" width="18.08984375" bestFit="1" customWidth="1"/>
  </cols>
  <sheetData>
    <row r="4" spans="1:2" x14ac:dyDescent="0.35">
      <c r="A4" s="35" t="s">
        <v>21</v>
      </c>
      <c r="B4" s="35"/>
    </row>
    <row r="8" spans="1:2" x14ac:dyDescent="0.35">
      <c r="A8" s="9" t="s">
        <v>19</v>
      </c>
      <c r="B8" s="11" t="s">
        <v>20</v>
      </c>
    </row>
    <row r="9" spans="1:2" x14ac:dyDescent="0.35">
      <c r="A9" s="16" t="s">
        <v>2</v>
      </c>
      <c r="B9" s="11">
        <v>2587.5015000000026</v>
      </c>
    </row>
    <row r="10" spans="1:2" x14ac:dyDescent="0.35">
      <c r="A10" s="16" t="s">
        <v>6</v>
      </c>
      <c r="B10" s="11">
        <v>2585.9949999999994</v>
      </c>
    </row>
    <row r="11" spans="1:2" x14ac:dyDescent="0.35">
      <c r="A11" s="16" t="s">
        <v>5</v>
      </c>
      <c r="B11" s="11">
        <v>2673.5639999999994</v>
      </c>
    </row>
    <row r="12" spans="1:2" x14ac:dyDescent="0.35">
      <c r="A12" s="16" t="s">
        <v>1</v>
      </c>
      <c r="B12" s="11">
        <v>2342.5589999999993</v>
      </c>
    </row>
    <row r="13" spans="1:2" x14ac:dyDescent="0.35">
      <c r="A13" s="16" t="s">
        <v>3</v>
      </c>
      <c r="B13" s="11">
        <v>2564.8530000000019</v>
      </c>
    </row>
    <row r="14" spans="1:2" x14ac:dyDescent="0.35">
      <c r="A14" s="16" t="s">
        <v>4</v>
      </c>
      <c r="B14" s="11">
        <v>2624.8964999999985</v>
      </c>
    </row>
    <row r="15" spans="1:2" x14ac:dyDescent="0.35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Mohana Bathula</cp:lastModifiedBy>
  <dcterms:created xsi:type="dcterms:W3CDTF">2023-05-11T15:14:40Z</dcterms:created>
  <dcterms:modified xsi:type="dcterms:W3CDTF">2023-07-01T05:45:56Z</dcterms:modified>
</cp:coreProperties>
</file>